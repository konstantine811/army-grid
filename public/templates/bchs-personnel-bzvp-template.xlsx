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48\Документи\БЧС\БЧС ВСЕ\"/>
    </mc:Choice>
  </mc:AlternateContent>
  <xr:revisionPtr revIDLastSave="0" documentId="13_ncr:1_{E63EF487-8C58-4B77-92BA-527B74B68A96}" xr6:coauthVersionLast="47" xr6:coauthVersionMax="47" xr10:uidLastSave="{00000000-0000-0000-0000-000000000000}"/>
  <bookViews>
    <workbookView xWindow="-120" yWindow="-120" windowWidth="29040" windowHeight="15720" xr2:uid="{EC767017-22D0-4A86-9CBF-91DEA3AD1227}"/>
  </bookViews>
  <sheets>
    <sheet name="Аркуш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0" i="1" l="1"/>
  <c r="C99" i="1"/>
  <c r="C98" i="1"/>
  <c r="C97" i="1"/>
  <c r="C96" i="1"/>
  <c r="C95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D100" i="1"/>
  <c r="D99" i="1"/>
  <c r="D98" i="1"/>
  <c r="D97" i="1"/>
  <c r="D96" i="1"/>
  <c r="D95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G100" i="1"/>
  <c r="G99" i="1"/>
  <c r="G98" i="1"/>
  <c r="G97" i="1"/>
  <c r="G96" i="1"/>
  <c r="G95" i="1"/>
  <c r="G92" i="1"/>
  <c r="G91" i="1"/>
  <c r="G90" i="1"/>
  <c r="G89" i="1"/>
  <c r="G88" i="1"/>
  <c r="G87" i="1"/>
  <c r="G86" i="1"/>
  <c r="G85" i="1"/>
  <c r="G84" i="1"/>
  <c r="G83" i="1"/>
  <c r="E100" i="1"/>
  <c r="E99" i="1"/>
  <c r="E98" i="1"/>
  <c r="E97" i="1"/>
  <c r="E96" i="1"/>
  <c r="E95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H101" i="1" l="1"/>
  <c r="N153" i="1" l="1"/>
  <c r="I260" i="1"/>
  <c r="J260" i="1"/>
  <c r="K260" i="1"/>
  <c r="L260" i="1"/>
  <c r="M260" i="1"/>
  <c r="N260" i="1"/>
  <c r="H248" i="1"/>
  <c r="I248" i="1"/>
  <c r="J248" i="1"/>
  <c r="K248" i="1"/>
  <c r="L248" i="1"/>
  <c r="M248" i="1"/>
  <c r="N248" i="1"/>
  <c r="H221" i="1"/>
  <c r="I221" i="1"/>
  <c r="J221" i="1"/>
  <c r="K221" i="1"/>
  <c r="L221" i="1"/>
  <c r="M221" i="1"/>
  <c r="N221" i="1"/>
  <c r="H212" i="1"/>
  <c r="I212" i="1"/>
  <c r="J212" i="1"/>
  <c r="K212" i="1"/>
  <c r="L212" i="1"/>
  <c r="M212" i="1"/>
  <c r="N212" i="1"/>
  <c r="G212" i="1"/>
  <c r="H200" i="1"/>
  <c r="I200" i="1"/>
  <c r="J200" i="1"/>
  <c r="K200" i="1"/>
  <c r="L200" i="1"/>
  <c r="M200" i="1"/>
  <c r="N200" i="1"/>
  <c r="G200" i="1"/>
  <c r="I190" i="1"/>
  <c r="J190" i="1"/>
  <c r="K190" i="1"/>
  <c r="L190" i="1"/>
  <c r="M190" i="1"/>
  <c r="N190" i="1"/>
  <c r="H190" i="1"/>
  <c r="I177" i="1"/>
  <c r="J177" i="1"/>
  <c r="K177" i="1"/>
  <c r="L177" i="1"/>
  <c r="M177" i="1"/>
  <c r="N177" i="1"/>
  <c r="J166" i="1"/>
  <c r="K166" i="1"/>
  <c r="L166" i="1"/>
  <c r="M166" i="1"/>
  <c r="N166" i="1"/>
  <c r="I166" i="1"/>
  <c r="H153" i="1"/>
  <c r="I153" i="1"/>
  <c r="J153" i="1"/>
  <c r="K153" i="1"/>
  <c r="L153" i="1"/>
  <c r="M153" i="1"/>
  <c r="G153" i="1"/>
  <c r="K122" i="1"/>
  <c r="L122" i="1"/>
  <c r="M122" i="1"/>
  <c r="I61" i="1"/>
  <c r="G61" i="1"/>
  <c r="J61" i="1"/>
  <c r="K61" i="1"/>
  <c r="M23" i="1"/>
  <c r="N23" i="1"/>
  <c r="G23" i="1"/>
  <c r="D23" i="1"/>
  <c r="C23" i="1"/>
  <c r="F22" i="1"/>
  <c r="F21" i="1"/>
  <c r="F20" i="1"/>
  <c r="F19" i="1"/>
  <c r="F18" i="1"/>
  <c r="F17" i="1"/>
  <c r="F15" i="1"/>
  <c r="F14" i="1"/>
  <c r="F13" i="1"/>
  <c r="F12" i="1"/>
  <c r="F11" i="1"/>
  <c r="F10" i="1"/>
  <c r="F9" i="1"/>
  <c r="F8" i="1"/>
  <c r="F7" i="1"/>
  <c r="F6" i="1"/>
  <c r="F5" i="1"/>
  <c r="F4" i="1"/>
  <c r="G248" i="1"/>
  <c r="D248" i="1"/>
  <c r="C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G190" i="1"/>
  <c r="D190" i="1"/>
  <c r="F190" i="1" s="1"/>
  <c r="C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H177" i="1"/>
  <c r="G177" i="1"/>
  <c r="D177" i="1"/>
  <c r="C177" i="1"/>
  <c r="F176" i="1"/>
  <c r="F175" i="1"/>
  <c r="F174" i="1"/>
  <c r="F173" i="1"/>
  <c r="F172" i="1"/>
  <c r="F171" i="1"/>
  <c r="F170" i="1"/>
  <c r="F169" i="1"/>
  <c r="F168" i="1"/>
  <c r="F167" i="1"/>
  <c r="D200" i="1"/>
  <c r="C200" i="1"/>
  <c r="F199" i="1"/>
  <c r="F198" i="1"/>
  <c r="F197" i="1"/>
  <c r="F196" i="1"/>
  <c r="F195" i="1"/>
  <c r="F194" i="1"/>
  <c r="F193" i="1"/>
  <c r="F192" i="1"/>
  <c r="F191" i="1"/>
  <c r="N61" i="1"/>
  <c r="M61" i="1"/>
  <c r="L61" i="1"/>
  <c r="H61" i="1"/>
  <c r="D61" i="1"/>
  <c r="N101" i="1"/>
  <c r="M101" i="1"/>
  <c r="L101" i="1"/>
  <c r="K101" i="1"/>
  <c r="J101" i="1"/>
  <c r="I101" i="1"/>
  <c r="G101" i="1"/>
  <c r="F93" i="1"/>
  <c r="F82" i="1"/>
  <c r="F81" i="1"/>
  <c r="M143" i="1"/>
  <c r="K143" i="1"/>
  <c r="J143" i="1"/>
  <c r="D143" i="1"/>
  <c r="C143" i="1"/>
  <c r="F142" i="1"/>
  <c r="F141" i="1"/>
  <c r="F140" i="1"/>
  <c r="F139" i="1"/>
  <c r="F138" i="1"/>
  <c r="F137" i="1"/>
  <c r="F136" i="1"/>
  <c r="F135" i="1"/>
  <c r="F134" i="1"/>
  <c r="F133" i="1"/>
  <c r="F131" i="1"/>
  <c r="F130" i="1"/>
  <c r="F129" i="1"/>
  <c r="F128" i="1"/>
  <c r="F127" i="1"/>
  <c r="F126" i="1"/>
  <c r="F125" i="1"/>
  <c r="F124" i="1"/>
  <c r="F123" i="1"/>
  <c r="D153" i="1"/>
  <c r="C153" i="1"/>
  <c r="M80" i="1"/>
  <c r="J80" i="1"/>
  <c r="H80" i="1"/>
  <c r="G80" i="1"/>
  <c r="D80" i="1"/>
  <c r="C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N122" i="1"/>
  <c r="J122" i="1"/>
  <c r="I122" i="1"/>
  <c r="H122" i="1"/>
  <c r="G122" i="1"/>
  <c r="D122" i="1"/>
  <c r="C122" i="1"/>
  <c r="F121" i="1"/>
  <c r="F120" i="1"/>
  <c r="F119" i="1"/>
  <c r="F118" i="1"/>
  <c r="F117" i="1"/>
  <c r="F116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G221" i="1"/>
  <c r="F215" i="1"/>
  <c r="F216" i="1"/>
  <c r="F217" i="1"/>
  <c r="F218" i="1"/>
  <c r="F219" i="1"/>
  <c r="F220" i="1"/>
  <c r="F214" i="1"/>
  <c r="F213" i="1"/>
  <c r="D221" i="1"/>
  <c r="C221" i="1"/>
  <c r="H260" i="1"/>
  <c r="G260" i="1"/>
  <c r="D166" i="1"/>
  <c r="D212" i="1"/>
  <c r="F212" i="1" s="1"/>
  <c r="F211" i="1"/>
  <c r="F210" i="1"/>
  <c r="F208" i="1"/>
  <c r="F207" i="1"/>
  <c r="F206" i="1"/>
  <c r="F205" i="1"/>
  <c r="F204" i="1"/>
  <c r="F203" i="1"/>
  <c r="F202" i="1"/>
  <c r="F201" i="1"/>
  <c r="F24" i="1"/>
  <c r="N42" i="1"/>
  <c r="D42" i="1"/>
  <c r="M42" i="1"/>
  <c r="L42" i="1"/>
  <c r="K42" i="1"/>
  <c r="J42" i="1"/>
  <c r="I42" i="1"/>
  <c r="H42" i="1"/>
  <c r="G42" i="1"/>
  <c r="C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154" i="1"/>
  <c r="H166" i="1"/>
  <c r="G166" i="1"/>
  <c r="C166" i="1"/>
  <c r="F165" i="1"/>
  <c r="F164" i="1"/>
  <c r="F163" i="1"/>
  <c r="F162" i="1"/>
  <c r="F161" i="1"/>
  <c r="F160" i="1"/>
  <c r="F159" i="1"/>
  <c r="F158" i="1"/>
  <c r="F157" i="1"/>
  <c r="F156" i="1"/>
  <c r="F155" i="1"/>
  <c r="C260" i="1"/>
  <c r="D260" i="1"/>
  <c r="F259" i="1"/>
  <c r="F258" i="1"/>
  <c r="F257" i="1"/>
  <c r="F256" i="1"/>
  <c r="F255" i="1"/>
  <c r="F254" i="1"/>
  <c r="F253" i="1"/>
  <c r="F252" i="1"/>
  <c r="F251" i="1"/>
  <c r="F250" i="1"/>
  <c r="F249" i="1"/>
  <c r="F23" i="1" l="1"/>
  <c r="F248" i="1"/>
  <c r="C61" i="1"/>
  <c r="F61" i="1" s="1"/>
  <c r="F177" i="1"/>
  <c r="F122" i="1"/>
  <c r="F200" i="1"/>
  <c r="F143" i="1"/>
  <c r="F221" i="1"/>
  <c r="F80" i="1"/>
  <c r="F42" i="1"/>
  <c r="F260" i="1"/>
  <c r="F86" i="1" l="1"/>
  <c r="F89" i="1"/>
  <c r="F99" i="1" l="1"/>
  <c r="F100" i="1"/>
  <c r="F87" i="1"/>
  <c r="F88" i="1"/>
  <c r="F96" i="1"/>
  <c r="F98" i="1"/>
  <c r="F91" i="1"/>
  <c r="F97" i="1"/>
  <c r="C101" i="1"/>
  <c r="F92" i="1"/>
  <c r="F83" i="1"/>
  <c r="F84" i="1"/>
  <c r="F90" i="1"/>
  <c r="F95" i="1"/>
  <c r="F85" i="1"/>
  <c r="D101" i="1" l="1"/>
  <c r="F101" i="1"/>
  <c r="E101" i="1" l="1"/>
</calcChain>
</file>

<file path=xl/sharedStrings.xml><?xml version="1.0" encoding="utf-8"?>
<sst xmlns="http://schemas.openxmlformats.org/spreadsheetml/2006/main" count="289" uniqueCount="123">
  <si>
    <t>БАТАЛЬЙОН</t>
  </si>
  <si>
    <t>ПІДРОЗДІЛ</t>
  </si>
  <si>
    <t>Штатна кількість О/C  (100%)</t>
  </si>
  <si>
    <t>Кількість за списком</t>
  </si>
  <si>
    <t>О/С %</t>
  </si>
  <si>
    <t>О/с на виконанні бойового завдання</t>
  </si>
  <si>
    <t>БЗВП</t>
  </si>
  <si>
    <t>На виконанні б/з</t>
  </si>
  <si>
    <t>Резерв згідно графіку заміни</t>
  </si>
  <si>
    <t>01.07 - 07.07</t>
  </si>
  <si>
    <t>08.07 - 14.07</t>
  </si>
  <si>
    <t>16.07 - 22.07</t>
  </si>
  <si>
    <t>22.07 - 31.07</t>
  </si>
  <si>
    <t>1 ШБ</t>
  </si>
  <si>
    <t>Управління</t>
  </si>
  <si>
    <t>Штаб</t>
  </si>
  <si>
    <t>1 штурмова рота</t>
  </si>
  <si>
    <t>2 штурмова рота</t>
  </si>
  <si>
    <t>3 штурмова рота</t>
  </si>
  <si>
    <t xml:space="preserve">Взвод зв'язку </t>
  </si>
  <si>
    <t>ВМЗ</t>
  </si>
  <si>
    <t>Взвод перехоплювачів БПЛА</t>
  </si>
  <si>
    <t>ВТЗ</t>
  </si>
  <si>
    <t>Відділення РЕБ</t>
  </si>
  <si>
    <t>Група безпілотних систем</t>
  </si>
  <si>
    <t>Група ОВГП</t>
  </si>
  <si>
    <t>Знітно - ракетний взвод</t>
  </si>
  <si>
    <t>ІСВ</t>
  </si>
  <si>
    <t>Мінометна батарея</t>
  </si>
  <si>
    <t>Розвідувальний взвод</t>
  </si>
  <si>
    <t>Рота безпілотних авіаційних комплексів</t>
  </si>
  <si>
    <t>Рота вогневої підтримки</t>
  </si>
  <si>
    <t>Медичний пункт</t>
  </si>
  <si>
    <t>Всього:</t>
  </si>
  <si>
    <t>2 ШБ</t>
  </si>
  <si>
    <t>3 ШБ</t>
  </si>
  <si>
    <t>Взвод протитанкових ракетних комплексів</t>
  </si>
  <si>
    <t>Відділення снайперів</t>
  </si>
  <si>
    <t>4 ШБ</t>
  </si>
  <si>
    <t>Зенітно - ракетний взвод</t>
  </si>
  <si>
    <t>1 ПБ</t>
  </si>
  <si>
    <t>1 піхотна рота</t>
  </si>
  <si>
    <t>2 піхотна рота</t>
  </si>
  <si>
    <t>3 піхотна рота</t>
  </si>
  <si>
    <t>Взвод логістично - евакуаційних безпілотних наземних систем</t>
  </si>
  <si>
    <t>ВМТЗ</t>
  </si>
  <si>
    <t>Взвод перехоплювачів безпілотних літальних апаратів</t>
  </si>
  <si>
    <t>Гранатометний взвод</t>
  </si>
  <si>
    <t>Кулеметний взвод</t>
  </si>
  <si>
    <t>Мінометний взвод</t>
  </si>
  <si>
    <t>2ПБ</t>
  </si>
  <si>
    <t>3ПБ</t>
  </si>
  <si>
    <t>Відділення протитанкових ракетних комплексів</t>
  </si>
  <si>
    <t>ШКВАЛ</t>
  </si>
  <si>
    <t>1 штурмова спеціалізована рота</t>
  </si>
  <si>
    <t>2 штурмова спеціалізована рота</t>
  </si>
  <si>
    <t>3 штурмова спеціалізована рота</t>
  </si>
  <si>
    <t>1 розвідувальна рота</t>
  </si>
  <si>
    <t>2 розвідувальна рота</t>
  </si>
  <si>
    <t>Взвод обслуговування та ремонту безпілотних систем</t>
  </si>
  <si>
    <t>Група обробки інформації</t>
  </si>
  <si>
    <t>Рота безпілотних наземних систем</t>
  </si>
  <si>
    <t>Рота радіо та радіо - технчної розвідки</t>
  </si>
  <si>
    <t>Резерв о/с викона-ння бойових завдань</t>
  </si>
  <si>
    <t>Резерв о/с кома-ндира полку</t>
  </si>
  <si>
    <t>1 ББС</t>
  </si>
  <si>
    <t>1 рота ударних безпілотних авіаційних комплексів</t>
  </si>
  <si>
    <t>2 рота ударних безпілотних авіаційних комплексів</t>
  </si>
  <si>
    <t>Взвод електронної підтримки</t>
  </si>
  <si>
    <t>Взвод забезпечення</t>
  </si>
  <si>
    <t>Пункт управління</t>
  </si>
  <si>
    <t>Розвідува-льний батальйон</t>
  </si>
  <si>
    <t>2 ББС</t>
  </si>
  <si>
    <t>Взвод матеріального забезпечення</t>
  </si>
  <si>
    <t>Взвод протидії екіпажам безпілотних літальних апаратів противника</t>
  </si>
  <si>
    <t>Взвод технічного забезпечення</t>
  </si>
  <si>
    <t>Артилерійский дивізіон</t>
  </si>
  <si>
    <t>1 артилерійська батарея</t>
  </si>
  <si>
    <t>2 артилерійська батарея</t>
  </si>
  <si>
    <t>Взвод управління</t>
  </si>
  <si>
    <t>Самохідна артилерійська батарея</t>
  </si>
  <si>
    <t>Танковий батальйон</t>
  </si>
  <si>
    <t>1 танкова рота</t>
  </si>
  <si>
    <t>2 танкова рота</t>
  </si>
  <si>
    <t>Група психологічного супроводу та відновлення</t>
  </si>
  <si>
    <t>Зенітна батарея</t>
  </si>
  <si>
    <t>Відділення управління</t>
  </si>
  <si>
    <t>1 Взвод перехоплювачів БПЛА</t>
  </si>
  <si>
    <t>2 Взвод перехоплювачів БПЛА</t>
  </si>
  <si>
    <t>3 Взвод перехоплювачів БПЛА</t>
  </si>
  <si>
    <t>4 Взвод перехоплювачів БПЛА</t>
  </si>
  <si>
    <t>Зенітно - ракетний артилерійський взвод</t>
  </si>
  <si>
    <t>Транспортна група</t>
  </si>
  <si>
    <t>Штаб командування</t>
  </si>
  <si>
    <t>210 ОБ</t>
  </si>
  <si>
    <t>Взвод охорони</t>
  </si>
  <si>
    <t>Контрольно-технічний пункт</t>
  </si>
  <si>
    <t>Ремонтно-відновлювальний батальйон</t>
  </si>
  <si>
    <t>1 ремонтна рота</t>
  </si>
  <si>
    <t>2 ремонтна рота</t>
  </si>
  <si>
    <t>3 ремонтна рота</t>
  </si>
  <si>
    <t>Відділення зв'язку</t>
  </si>
  <si>
    <t>Відділення інженерної техніки</t>
  </si>
  <si>
    <t>Евакуаційний взвод</t>
  </si>
  <si>
    <t>Лабораторія вимірювальної техніки</t>
  </si>
  <si>
    <t>4 штурмова спеціалізована рота</t>
  </si>
  <si>
    <t>Командування</t>
  </si>
  <si>
    <t>Група підготовки</t>
  </si>
  <si>
    <t>Служба охорони державної таємниці</t>
  </si>
  <si>
    <t>Служба захисту інформації в автоматизованих системах</t>
  </si>
  <si>
    <t>Служба сил підтримки</t>
  </si>
  <si>
    <t>Медична служба</t>
  </si>
  <si>
    <t>Фінансово - економічна служба</t>
  </si>
  <si>
    <t>Озброєння</t>
  </si>
  <si>
    <t>Тил</t>
  </si>
  <si>
    <t>Рота ударних безпілотних авіаційних комплексів</t>
  </si>
  <si>
    <t>3 рота ударних безпілотних авіаційних комплексів</t>
  </si>
  <si>
    <t>4 рота ударних безпілотних авіаційних комплексів</t>
  </si>
  <si>
    <t>Взвод протидії інфраструктурі безпілотних літальних апаратів противника</t>
  </si>
  <si>
    <t>Інженерно-саперний взвод</t>
  </si>
  <si>
    <t>Взвод зв'язку</t>
  </si>
  <si>
    <t>Взвод матеріально-технічного забезпечення</t>
  </si>
  <si>
    <t>Наявність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</si>
</sst>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41">
    <xf numFmtId="0" fontId="0" fillId="0" borderId="0" xfId="0"/>
    <xf numFmtId="0" fontId="4" fillId="2" borderId="2" xfId="0" applyFont="1" applyFill="1" applyBorder="1" applyAlignment="1">
      <alignment horizontal="left" wrapText="1"/>
    </xf>
    <xf numFmtId="9" fontId="4" fillId="0" borderId="2" xfId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left" wrapText="1"/>
    </xf>
    <xf numFmtId="0" fontId="4" fillId="0" borderId="0" xfId="0" applyFont="1"/>
    <xf numFmtId="0" fontId="4" fillId="2" borderId="3" xfId="0" applyFont="1" applyFill="1" applyBorder="1"/>
    <xf numFmtId="0" fontId="4" fillId="2" borderId="6" xfId="0" applyFont="1" applyFill="1" applyBorder="1"/>
    <xf numFmtId="0" fontId="6" fillId="0" borderId="0" xfId="0" applyFont="1"/>
    <xf numFmtId="0" fontId="3" fillId="2" borderId="15" xfId="0" applyFont="1" applyFill="1" applyBorder="1" applyAlignment="1">
      <alignment wrapText="1"/>
    </xf>
    <xf numFmtId="0" fontId="4" fillId="2" borderId="16" xfId="0" applyFont="1" applyFill="1" applyBorder="1"/>
    <xf numFmtId="0" fontId="3" fillId="2" borderId="15" xfId="0" applyFont="1" applyFill="1" applyBorder="1" applyAlignment="1">
      <alignment horizontal="center" wrapText="1"/>
    </xf>
    <xf numFmtId="0" fontId="4" fillId="2" borderId="19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9" fontId="4" fillId="0" borderId="6" xfId="1" applyFont="1" applyFill="1" applyBorder="1" applyAlignment="1">
      <alignment horizontal="center" wrapText="1"/>
    </xf>
    <xf numFmtId="0" fontId="3" fillId="2" borderId="17" xfId="0" applyFont="1" applyFill="1" applyBorder="1"/>
    <xf numFmtId="0" fontId="3" fillId="2" borderId="19" xfId="0" applyFont="1" applyFill="1" applyBorder="1" applyAlignment="1">
      <alignment horizontal="center" wrapText="1"/>
    </xf>
    <xf numFmtId="0" fontId="3" fillId="2" borderId="17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9" fontId="4" fillId="0" borderId="5" xfId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3" xfId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9" fontId="4" fillId="0" borderId="6" xfId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2" borderId="15" xfId="0" applyFont="1" applyFill="1" applyBorder="1"/>
    <xf numFmtId="9" fontId="4" fillId="0" borderId="5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wrapText="1"/>
    </xf>
    <xf numFmtId="0" fontId="3" fillId="2" borderId="31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9" fontId="4" fillId="0" borderId="32" xfId="1" applyFont="1" applyFill="1" applyBorder="1" applyAlignment="1">
      <alignment horizontal="center" wrapText="1"/>
    </xf>
    <xf numFmtId="0" fontId="4" fillId="0" borderId="32" xfId="0" applyFont="1" applyFill="1" applyBorder="1"/>
    <xf numFmtId="0" fontId="4" fillId="0" borderId="32" xfId="0" applyFont="1" applyFill="1" applyBorder="1" applyAlignment="1">
      <alignment horizontal="center" wrapText="1"/>
    </xf>
    <xf numFmtId="0" fontId="4" fillId="0" borderId="32" xfId="0" quotePrefix="1" applyFont="1" applyFill="1" applyBorder="1" applyAlignment="1">
      <alignment horizontal="center" wrapText="1"/>
    </xf>
    <xf numFmtId="0" fontId="4" fillId="0" borderId="2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wrapText="1"/>
    </xf>
    <xf numFmtId="0" fontId="4" fillId="0" borderId="21" xfId="0" applyFont="1" applyFill="1" applyBorder="1" applyAlignment="1">
      <alignment horizontal="center" wrapText="1"/>
    </xf>
    <xf numFmtId="0" fontId="4" fillId="0" borderId="22" xfId="0" applyFont="1" applyFill="1" applyBorder="1" applyAlignment="1">
      <alignment horizontal="center" wrapText="1"/>
    </xf>
    <xf numFmtId="0" fontId="4" fillId="2" borderId="28" xfId="0" applyFont="1" applyFill="1" applyBorder="1"/>
    <xf numFmtId="0" fontId="7" fillId="0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wrapText="1"/>
    </xf>
    <xf numFmtId="9" fontId="4" fillId="0" borderId="24" xfId="0" applyNumberFormat="1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wrapText="1"/>
    </xf>
    <xf numFmtId="9" fontId="4" fillId="0" borderId="5" xfId="1" applyFont="1" applyFill="1" applyBorder="1" applyAlignment="1">
      <alignment horizontal="center" vertical="center" wrapText="1"/>
    </xf>
    <xf numFmtId="9" fontId="4" fillId="0" borderId="3" xfId="1" applyFont="1" applyFill="1" applyBorder="1" applyAlignment="1">
      <alignment horizontal="center" vertical="center" wrapText="1"/>
    </xf>
    <xf numFmtId="9" fontId="4" fillId="0" borderId="6" xfId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9" fontId="4" fillId="0" borderId="2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9" fontId="4" fillId="0" borderId="31" xfId="1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9" fontId="7" fillId="0" borderId="5" xfId="1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9" fontId="7" fillId="0" borderId="3" xfId="1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9" fontId="7" fillId="0" borderId="6" xfId="1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1" applyFont="1" applyFill="1" applyBorder="1" applyAlignment="1">
      <alignment horizontal="center" vertical="center" wrapText="1"/>
    </xf>
    <xf numFmtId="9" fontId="4" fillId="0" borderId="31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wrapText="1"/>
    </xf>
    <xf numFmtId="9" fontId="4" fillId="0" borderId="5" xfId="1" applyFont="1" applyFill="1" applyBorder="1" applyAlignment="1">
      <alignment horizontal="center" wrapText="1"/>
    </xf>
    <xf numFmtId="0" fontId="4" fillId="0" borderId="2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textRotation="90" wrapText="1"/>
    </xf>
    <xf numFmtId="49" fontId="5" fillId="2" borderId="13" xfId="0" applyNumberFormat="1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4" fillId="2" borderId="13" xfId="0" applyFont="1" applyFill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9" fontId="4" fillId="2" borderId="1" xfId="1" applyFont="1" applyFill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36" xfId="0" applyBorder="1" applyAlignment="1">
      <alignment horizontal="center" vertical="center" textRotation="90" wrapText="1"/>
    </xf>
  </cellXfs>
  <cellStyles count="3">
    <cellStyle name="Відсотковий" xfId="1" builtinId="5"/>
    <cellStyle name="Звичайний" xfId="0" builtinId="0"/>
    <cellStyle name="Звичайний 6" xfId="2" xr:uid="{73B5CF59-5F2D-42EC-9D7A-7F0F4AA12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40;48\&#1044;&#1086;&#1082;&#1091;&#1084;&#1077;&#1085;&#1090;&#1080;\&#1041;&#1063;&#1057;\&#1041;&#1063;&#1057;%20&#1042;&#1057;&#1045;\&#1056;&#1072;&#1089;&#1089;&#1095;&#1077;&#1090;.xlsx" TargetMode="External"/><Relationship Id="rId1" Type="http://schemas.openxmlformats.org/officeDocument/2006/relationships/externalLinkPath" Target="&#1056;&#1072;&#1089;&#1089;&#1095;&#1077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Аркуш1"/>
      <sheetName val="Аркуш2"/>
    </sheetNames>
    <sheetDataSet>
      <sheetData sheetId="0">
        <row r="13">
          <cell r="F13">
            <v>113</v>
          </cell>
          <cell r="J13">
            <v>84</v>
          </cell>
          <cell r="BL13">
            <v>50</v>
          </cell>
        </row>
        <row r="14">
          <cell r="F14">
            <v>113</v>
          </cell>
          <cell r="J14">
            <v>97</v>
          </cell>
          <cell r="BL14">
            <v>50</v>
          </cell>
        </row>
        <row r="15">
          <cell r="F15">
            <v>113</v>
          </cell>
          <cell r="J15">
            <v>97</v>
          </cell>
          <cell r="BL15">
            <v>55</v>
          </cell>
        </row>
        <row r="16">
          <cell r="F16">
            <v>87</v>
          </cell>
          <cell r="J16">
            <v>74</v>
          </cell>
          <cell r="BL16">
            <v>59</v>
          </cell>
        </row>
        <row r="17">
          <cell r="F17">
            <v>22</v>
          </cell>
          <cell r="J17">
            <v>21</v>
          </cell>
          <cell r="BL17">
            <v>15</v>
          </cell>
        </row>
        <row r="18">
          <cell r="F18">
            <v>20</v>
          </cell>
          <cell r="J18">
            <v>17</v>
          </cell>
          <cell r="BL18">
            <v>10</v>
          </cell>
        </row>
        <row r="19">
          <cell r="F19">
            <v>31</v>
          </cell>
          <cell r="J19">
            <v>27</v>
          </cell>
          <cell r="BL19">
            <v>19</v>
          </cell>
        </row>
        <row r="20">
          <cell r="F20">
            <v>20</v>
          </cell>
          <cell r="J20">
            <v>19</v>
          </cell>
          <cell r="BL20">
            <v>13</v>
          </cell>
        </row>
        <row r="21">
          <cell r="F21">
            <v>32</v>
          </cell>
          <cell r="J21">
            <v>30</v>
          </cell>
          <cell r="BL21">
            <v>19</v>
          </cell>
        </row>
        <row r="22">
          <cell r="F22">
            <v>24</v>
          </cell>
          <cell r="J22">
            <v>23</v>
          </cell>
          <cell r="BL22">
            <v>13</v>
          </cell>
        </row>
        <row r="23">
          <cell r="F23">
            <v>24</v>
          </cell>
          <cell r="J23">
            <v>22</v>
          </cell>
          <cell r="BL23">
            <v>14</v>
          </cell>
        </row>
        <row r="24">
          <cell r="F24">
            <v>7</v>
          </cell>
          <cell r="J24">
            <v>7</v>
          </cell>
        </row>
        <row r="25">
          <cell r="F25">
            <v>12</v>
          </cell>
          <cell r="J25">
            <v>12</v>
          </cell>
        </row>
        <row r="26">
          <cell r="F26">
            <v>20</v>
          </cell>
          <cell r="J26">
            <v>19</v>
          </cell>
          <cell r="BL26">
            <v>15</v>
          </cell>
        </row>
        <row r="27">
          <cell r="F27">
            <v>28</v>
          </cell>
          <cell r="J27">
            <v>25</v>
          </cell>
          <cell r="BL27">
            <v>22</v>
          </cell>
        </row>
        <row r="28">
          <cell r="F28">
            <v>11</v>
          </cell>
          <cell r="J28">
            <v>11</v>
          </cell>
          <cell r="BL28">
            <v>10</v>
          </cell>
        </row>
      </sheetData>
      <sheetData sheetId="1">
        <row r="1">
          <cell r="B1" t="str">
            <v>Підрозділ</v>
          </cell>
          <cell r="M1" t="str">
            <v>Звання</v>
          </cell>
          <cell r="U1" t="str">
            <v>СТАТУС</v>
          </cell>
          <cell r="AE1" t="str">
            <v>Місце перебування</v>
          </cell>
        </row>
        <row r="2">
          <cell r="B2" t="str">
            <v>ж</v>
          </cell>
          <cell r="I2" t="str">
            <v>Оф.</v>
          </cell>
          <cell r="M2" t="str">
            <v>старший лейтенант</v>
          </cell>
          <cell r="U2" t="str">
            <v>В строю</v>
          </cell>
          <cell r="AE2" t="str">
            <v>КСП Павлоград</v>
          </cell>
        </row>
        <row r="3">
          <cell r="B3" t="str">
            <v>ж</v>
          </cell>
          <cell r="I3" t="str">
            <v>Оф.</v>
          </cell>
        </row>
        <row r="4">
          <cell r="B4" t="str">
            <v>ж</v>
          </cell>
          <cell r="I4" t="str">
            <v>Оф.</v>
          </cell>
          <cell r="M4" t="str">
            <v>майор</v>
          </cell>
          <cell r="U4" t="str">
            <v>В строю</v>
          </cell>
          <cell r="AE4" t="str">
            <v>ППД Вишневе</v>
          </cell>
        </row>
        <row r="5">
          <cell r="B5" t="str">
            <v>ж</v>
          </cell>
          <cell r="I5" t="str">
            <v>Оф.</v>
          </cell>
        </row>
        <row r="6">
          <cell r="B6" t="str">
            <v>ж</v>
          </cell>
          <cell r="I6" t="str">
            <v>Оф.</v>
          </cell>
          <cell r="M6" t="str">
            <v>молодший лейтенант</v>
          </cell>
          <cell r="U6" t="str">
            <v>В строю</v>
          </cell>
          <cell r="AE6" t="str">
            <v>ППД Вишневе</v>
          </cell>
        </row>
        <row r="7">
          <cell r="B7" t="str">
            <v>ж</v>
          </cell>
          <cell r="I7" t="str">
            <v>Оф.</v>
          </cell>
          <cell r="M7" t="str">
            <v>майор</v>
          </cell>
          <cell r="U7" t="str">
            <v>В строю</v>
          </cell>
          <cell r="AE7" t="str">
            <v>КСП Павлоград</v>
          </cell>
        </row>
        <row r="8">
          <cell r="B8" t="str">
            <v>ж</v>
          </cell>
          <cell r="I8" t="str">
            <v>Серж.</v>
          </cell>
          <cell r="M8" t="str">
            <v>молодший сержант</v>
          </cell>
          <cell r="U8" t="str">
            <v>В строю</v>
          </cell>
          <cell r="AE8" t="str">
            <v>ППД Вишневе</v>
          </cell>
        </row>
        <row r="9">
          <cell r="B9" t="str">
            <v>Штаб</v>
          </cell>
          <cell r="I9" t="str">
            <v>Оф.</v>
          </cell>
          <cell r="M9" t="str">
            <v>лейтенант</v>
          </cell>
          <cell r="U9" t="str">
            <v>В строю</v>
          </cell>
          <cell r="AE9" t="str">
            <v>КСП Павлоград</v>
          </cell>
        </row>
        <row r="10">
          <cell r="B10" t="str">
            <v>Штаб</v>
          </cell>
          <cell r="I10" t="str">
            <v>Оф.</v>
          </cell>
          <cell r="M10" t="str">
            <v>молодший сержант</v>
          </cell>
          <cell r="U10" t="str">
            <v>В строю</v>
          </cell>
          <cell r="AE10" t="str">
            <v>ППД Вишневе</v>
          </cell>
        </row>
        <row r="11">
          <cell r="B11" t="str">
            <v>Штаб</v>
          </cell>
          <cell r="I11" t="str">
            <v>Серж.</v>
          </cell>
        </row>
        <row r="12">
          <cell r="B12" t="str">
            <v>Штаб</v>
          </cell>
          <cell r="I12" t="str">
            <v>Оф.</v>
          </cell>
        </row>
        <row r="13">
          <cell r="B13" t="str">
            <v>Штаб</v>
          </cell>
          <cell r="I13" t="str">
            <v>Оф.</v>
          </cell>
        </row>
        <row r="14">
          <cell r="B14" t="str">
            <v>Штаб</v>
          </cell>
          <cell r="I14" t="str">
            <v>Серж.</v>
          </cell>
        </row>
        <row r="15">
          <cell r="B15" t="str">
            <v>Штаб</v>
          </cell>
          <cell r="I15" t="str">
            <v>Оф.</v>
          </cell>
        </row>
        <row r="16">
          <cell r="B16" t="str">
            <v>Штаб</v>
          </cell>
          <cell r="I16" t="str">
            <v>Оф.</v>
          </cell>
          <cell r="M16" t="str">
            <v>старший лейтенант</v>
          </cell>
          <cell r="U16" t="str">
            <v>Відком. за межі ПБ</v>
          </cell>
          <cell r="AE16" t="str">
            <v>Полк</v>
          </cell>
        </row>
        <row r="17">
          <cell r="B17" t="str">
            <v>Штаб</v>
          </cell>
          <cell r="I17" t="str">
            <v>Оф.</v>
          </cell>
          <cell r="M17" t="str">
            <v>молодший лейтенант</v>
          </cell>
          <cell r="U17" t="str">
            <v>В строю</v>
          </cell>
          <cell r="AE17" t="str">
            <v>КСП Павлоград</v>
          </cell>
        </row>
        <row r="18">
          <cell r="B18" t="str">
            <v>Штаб</v>
          </cell>
          <cell r="I18" t="str">
            <v>Оф.</v>
          </cell>
        </row>
        <row r="19">
          <cell r="B19" t="str">
            <v>Штаб</v>
          </cell>
          <cell r="I19" t="str">
            <v>Оф.</v>
          </cell>
        </row>
        <row r="20">
          <cell r="B20" t="str">
            <v>Штаб</v>
          </cell>
          <cell r="I20" t="str">
            <v>Оф.</v>
          </cell>
        </row>
        <row r="21">
          <cell r="B21" t="str">
            <v>Штаб</v>
          </cell>
          <cell r="I21" t="str">
            <v>Серж.</v>
          </cell>
        </row>
        <row r="22">
          <cell r="B22" t="str">
            <v>Штаб</v>
          </cell>
          <cell r="I22" t="str">
            <v>Оф.</v>
          </cell>
        </row>
        <row r="23">
          <cell r="B23" t="str">
            <v>Штаб</v>
          </cell>
          <cell r="I23" t="str">
            <v>Серж.</v>
          </cell>
        </row>
        <row r="24">
          <cell r="B24" t="str">
            <v>Штаб</v>
          </cell>
          <cell r="I24" t="str">
            <v>Оф.</v>
          </cell>
          <cell r="M24" t="str">
            <v>лейтенант</v>
          </cell>
          <cell r="U24" t="str">
            <v>Відком. за межі ПБ</v>
          </cell>
          <cell r="AE24" t="str">
            <v>Полк</v>
          </cell>
        </row>
        <row r="25">
          <cell r="B25" t="str">
            <v>Штаб</v>
          </cell>
          <cell r="I25" t="str">
            <v>Серж.</v>
          </cell>
          <cell r="M25" t="str">
            <v>молодший сержант</v>
          </cell>
          <cell r="U25" t="str">
            <v>Відком. за межі ПБ</v>
          </cell>
          <cell r="AE25" t="str">
            <v>Полк</v>
          </cell>
        </row>
        <row r="26">
          <cell r="B26" t="str">
            <v>Штаб</v>
          </cell>
          <cell r="I26" t="str">
            <v>Оф.</v>
          </cell>
        </row>
        <row r="27">
          <cell r="B27" t="str">
            <v>Штаб</v>
          </cell>
          <cell r="I27" t="str">
            <v>Серж.</v>
          </cell>
          <cell r="M27" t="str">
            <v>старший сержант</v>
          </cell>
          <cell r="U27" t="str">
            <v>В строю</v>
          </cell>
          <cell r="AE27" t="str">
            <v>ППД Вишневе</v>
          </cell>
        </row>
        <row r="28">
          <cell r="B28" t="str">
            <v>Штаб</v>
          </cell>
          <cell r="I28" t="str">
            <v>Серж.</v>
          </cell>
          <cell r="M28" t="str">
            <v>молодший сержант</v>
          </cell>
          <cell r="U28" t="str">
            <v>В строю</v>
          </cell>
          <cell r="AE28" t="str">
            <v>ППД Вишневе</v>
          </cell>
        </row>
        <row r="29">
          <cell r="B29" t="str">
            <v>Група безпілотних систем</v>
          </cell>
          <cell r="I29" t="str">
            <v>Оф.</v>
          </cell>
        </row>
        <row r="30">
          <cell r="B30" t="str">
            <v>Група безпілотних систем</v>
          </cell>
          <cell r="I30" t="str">
            <v>Оф.</v>
          </cell>
          <cell r="M30" t="str">
            <v>старший лейтенант</v>
          </cell>
          <cell r="U30" t="str">
            <v>Відком. за межі ПБ</v>
          </cell>
          <cell r="AE30" t="str">
            <v>Полк</v>
          </cell>
        </row>
        <row r="31">
          <cell r="B31" t="str">
            <v>Група безпілотних систем</v>
          </cell>
          <cell r="I31" t="str">
            <v>Серж.</v>
          </cell>
        </row>
        <row r="32">
          <cell r="B32" t="str">
            <v>Група безпілотних систем</v>
          </cell>
          <cell r="I32" t="str">
            <v>Серж.</v>
          </cell>
        </row>
        <row r="33">
          <cell r="B33" t="str">
            <v>Група безпілотних систем</v>
          </cell>
          <cell r="I33" t="str">
            <v>Серж.</v>
          </cell>
        </row>
        <row r="34">
          <cell r="B34" t="str">
            <v>1 піхотна рота</v>
          </cell>
          <cell r="I34" t="str">
            <v>Оф.</v>
          </cell>
          <cell r="M34" t="str">
            <v>старший лейтенант</v>
          </cell>
          <cell r="U34" t="str">
            <v>В строю</v>
          </cell>
          <cell r="AE34" t="str">
            <v>КСП Павлоград</v>
          </cell>
        </row>
        <row r="35">
          <cell r="B35" t="str">
            <v>1 піхотна рота</v>
          </cell>
          <cell r="I35" t="str">
            <v>Оф.</v>
          </cell>
          <cell r="M35" t="str">
            <v>молодший лейтенант</v>
          </cell>
          <cell r="U35" t="str">
            <v>Відком. за межі ПБ</v>
          </cell>
          <cell r="AE35" t="str">
            <v>Полк</v>
          </cell>
        </row>
        <row r="36">
          <cell r="B36" t="str">
            <v>1 піхотна рота</v>
          </cell>
          <cell r="I36" t="str">
            <v>Оф.</v>
          </cell>
          <cell r="M36" t="str">
            <v>лейтенант</v>
          </cell>
          <cell r="U36" t="str">
            <v>Відком. за межі ПБ</v>
          </cell>
          <cell r="AE36" t="str">
            <v>Полк</v>
          </cell>
        </row>
        <row r="37">
          <cell r="B37" t="str">
            <v>1 піхотна рота</v>
          </cell>
          <cell r="I37" t="str">
            <v>Серж.</v>
          </cell>
          <cell r="M37" t="str">
            <v>молодший сержант</v>
          </cell>
          <cell r="U37" t="str">
            <v>В строю</v>
          </cell>
          <cell r="AE37" t="str">
            <v>ППД Вишневе</v>
          </cell>
        </row>
        <row r="38">
          <cell r="B38" t="str">
            <v>1 піхотна рота</v>
          </cell>
          <cell r="I38" t="str">
            <v>Серж.</v>
          </cell>
          <cell r="M38" t="str">
            <v>сержант</v>
          </cell>
          <cell r="U38" t="str">
            <v>Відком. за межі ПБ</v>
          </cell>
          <cell r="AE38" t="str">
            <v>Вик.БЗ в ін. п-лі</v>
          </cell>
        </row>
        <row r="39">
          <cell r="B39" t="str">
            <v>1 піхотна рота</v>
          </cell>
          <cell r="I39" t="str">
            <v>Серж.</v>
          </cell>
          <cell r="M39" t="str">
            <v>молодший сержант</v>
          </cell>
          <cell r="U39" t="str">
            <v>В строю</v>
          </cell>
          <cell r="AE39" t="str">
            <v>ППД Вишневе</v>
          </cell>
        </row>
        <row r="40">
          <cell r="B40" t="str">
            <v>1 піхотна рота</v>
          </cell>
          <cell r="I40" t="str">
            <v>Серж.</v>
          </cell>
        </row>
        <row r="41">
          <cell r="B41" t="str">
            <v>1 піхотна рота</v>
          </cell>
          <cell r="I41" t="str">
            <v>солд.</v>
          </cell>
          <cell r="M41" t="str">
            <v>солдат</v>
          </cell>
          <cell r="U41" t="str">
            <v>В строю</v>
          </cell>
          <cell r="AE41" t="str">
            <v>ППД Польова</v>
          </cell>
        </row>
        <row r="42">
          <cell r="B42" t="str">
            <v>1 піхотна рота</v>
          </cell>
          <cell r="I42" t="str">
            <v>солд.</v>
          </cell>
        </row>
        <row r="43">
          <cell r="B43" t="str">
            <v>1 піхотна рота</v>
          </cell>
          <cell r="I43" t="str">
            <v>Оф.</v>
          </cell>
          <cell r="M43" t="str">
            <v>молодший сержант</v>
          </cell>
          <cell r="U43" t="str">
            <v>Відком. за межі ПБ</v>
          </cell>
          <cell r="AE43" t="str">
            <v>Полк</v>
          </cell>
        </row>
        <row r="44">
          <cell r="B44" t="str">
            <v>1 піхотна рота</v>
          </cell>
          <cell r="I44" t="str">
            <v>Серж.</v>
          </cell>
        </row>
        <row r="45">
          <cell r="B45" t="str">
            <v>1 піхотна рота</v>
          </cell>
          <cell r="I45" t="str">
            <v>солд.</v>
          </cell>
          <cell r="M45" t="str">
            <v>молодший сержант</v>
          </cell>
          <cell r="U45" t="str">
            <v>В строю</v>
          </cell>
          <cell r="AE45" t="str">
            <v>ППД Вишневе</v>
          </cell>
        </row>
        <row r="46">
          <cell r="B46" t="str">
            <v>1 піхотна рота</v>
          </cell>
          <cell r="I46" t="str">
            <v>Серж.</v>
          </cell>
        </row>
        <row r="47">
          <cell r="B47" t="str">
            <v>1 піхотна рота</v>
          </cell>
          <cell r="I47" t="str">
            <v>солд.</v>
          </cell>
        </row>
        <row r="48">
          <cell r="B48" t="str">
            <v>1 піхотна рота</v>
          </cell>
          <cell r="I48" t="str">
            <v>солд.</v>
          </cell>
          <cell r="M48" t="str">
            <v>солдат</v>
          </cell>
          <cell r="U48" t="str">
            <v>В строю</v>
          </cell>
          <cell r="AE48" t="str">
            <v>На виконанні</v>
          </cell>
        </row>
        <row r="49">
          <cell r="B49" t="str">
            <v>1 піхотна рота</v>
          </cell>
          <cell r="I49" t="str">
            <v>солд.</v>
          </cell>
          <cell r="M49" t="str">
            <v>солдат</v>
          </cell>
          <cell r="U49" t="str">
            <v>В строю</v>
          </cell>
          <cell r="AE49" t="str">
            <v>На виконанні</v>
          </cell>
        </row>
        <row r="50">
          <cell r="B50" t="str">
            <v>1 піхотна рота</v>
          </cell>
          <cell r="I50" t="str">
            <v>солд.</v>
          </cell>
          <cell r="M50" t="str">
            <v>солдат</v>
          </cell>
          <cell r="U50" t="str">
            <v>Лікування</v>
          </cell>
          <cell r="AE50" t="str">
            <v>Шпиталь</v>
          </cell>
        </row>
        <row r="51">
          <cell r="B51" t="str">
            <v>1 піхотна рота</v>
          </cell>
          <cell r="I51" t="str">
            <v>солд.</v>
          </cell>
          <cell r="M51" t="str">
            <v>солдат</v>
          </cell>
          <cell r="U51" t="str">
            <v>Лікування</v>
          </cell>
          <cell r="AE51" t="str">
            <v>Шпиталь</v>
          </cell>
        </row>
        <row r="52">
          <cell r="B52" t="str">
            <v>1 піхотна рота</v>
          </cell>
          <cell r="I52" t="str">
            <v>солд.</v>
          </cell>
          <cell r="M52" t="str">
            <v>солдат</v>
          </cell>
          <cell r="U52" t="str">
            <v>В строю</v>
          </cell>
          <cell r="AE52" t="str">
            <v>ППД Вишневе</v>
          </cell>
        </row>
        <row r="53">
          <cell r="B53" t="str">
            <v>1 піхотна рота</v>
          </cell>
          <cell r="I53" t="str">
            <v>солд.</v>
          </cell>
          <cell r="M53" t="str">
            <v>солдат</v>
          </cell>
          <cell r="U53" t="str">
            <v>Лікування</v>
          </cell>
          <cell r="AE53" t="str">
            <v>Відпустка лікув.</v>
          </cell>
        </row>
        <row r="54">
          <cell r="B54" t="str">
            <v>1 піхотна рота</v>
          </cell>
          <cell r="I54" t="str">
            <v>солд.</v>
          </cell>
        </row>
        <row r="55">
          <cell r="B55" t="str">
            <v>1 піхотна рота</v>
          </cell>
          <cell r="I55" t="str">
            <v>Серж.</v>
          </cell>
          <cell r="M55" t="str">
            <v>молодший сержант</v>
          </cell>
          <cell r="U55" t="str">
            <v>В строю</v>
          </cell>
          <cell r="AE55" t="str">
            <v>ППД Вишневе</v>
          </cell>
        </row>
        <row r="56">
          <cell r="B56" t="str">
            <v>1 піхотна рота</v>
          </cell>
          <cell r="I56" t="str">
            <v>солд.</v>
          </cell>
          <cell r="M56" t="str">
            <v>старший солдат</v>
          </cell>
          <cell r="U56" t="str">
            <v>В строю</v>
          </cell>
          <cell r="AE56" t="str">
            <v>На виконанні</v>
          </cell>
        </row>
        <row r="57">
          <cell r="B57" t="str">
            <v>1 піхотна рота</v>
          </cell>
          <cell r="I57" t="str">
            <v>солд.</v>
          </cell>
        </row>
        <row r="58">
          <cell r="B58" t="str">
            <v>1 піхотна рота</v>
          </cell>
          <cell r="I58" t="str">
            <v>солд.</v>
          </cell>
          <cell r="M58" t="str">
            <v>солдат</v>
          </cell>
          <cell r="U58" t="str">
            <v>В строю</v>
          </cell>
          <cell r="AE58" t="str">
            <v>ППД Вишневе</v>
          </cell>
        </row>
        <row r="59">
          <cell r="B59" t="str">
            <v>1 піхотна рота</v>
          </cell>
          <cell r="I59" t="str">
            <v>солд.</v>
          </cell>
          <cell r="M59" t="str">
            <v>солдат</v>
          </cell>
          <cell r="U59" t="str">
            <v>В строю</v>
          </cell>
          <cell r="AE59" t="str">
            <v>ППД Вишневе</v>
          </cell>
        </row>
        <row r="60">
          <cell r="B60" t="str">
            <v>1 піхотна рота</v>
          </cell>
          <cell r="I60" t="str">
            <v>солд.</v>
          </cell>
          <cell r="M60" t="str">
            <v>солдат</v>
          </cell>
          <cell r="U60" t="str">
            <v>Лікування</v>
          </cell>
          <cell r="AE60" t="str">
            <v>Шпиталь</v>
          </cell>
        </row>
        <row r="61">
          <cell r="B61" t="str">
            <v>1 піхотна рота</v>
          </cell>
          <cell r="I61" t="str">
            <v>солд.</v>
          </cell>
          <cell r="M61" t="str">
            <v>солдат</v>
          </cell>
          <cell r="U61" t="str">
            <v>В строю</v>
          </cell>
          <cell r="AE61" t="str">
            <v>На виконанні</v>
          </cell>
        </row>
        <row r="62">
          <cell r="B62" t="str">
            <v>1 піхотна рота</v>
          </cell>
          <cell r="I62" t="str">
            <v>солд.</v>
          </cell>
          <cell r="M62" t="str">
            <v>солдат</v>
          </cell>
          <cell r="U62" t="str">
            <v>В строю</v>
          </cell>
          <cell r="AE62" t="str">
            <v>ППД Слов'янка (13-й)</v>
          </cell>
        </row>
        <row r="63">
          <cell r="B63" t="str">
            <v>1 піхотна рота</v>
          </cell>
          <cell r="I63" t="str">
            <v>солд.</v>
          </cell>
          <cell r="M63" t="str">
            <v>солдат</v>
          </cell>
          <cell r="U63" t="str">
            <v>В строю</v>
          </cell>
        </row>
        <row r="64">
          <cell r="B64" t="str">
            <v>1 піхотна рота</v>
          </cell>
          <cell r="I64" t="str">
            <v>Серж.</v>
          </cell>
        </row>
        <row r="65">
          <cell r="B65" t="str">
            <v>1 піхотна рота</v>
          </cell>
          <cell r="I65" t="str">
            <v>солд.</v>
          </cell>
          <cell r="M65" t="str">
            <v>солдат</v>
          </cell>
          <cell r="U65" t="str">
            <v>В строю</v>
          </cell>
          <cell r="AE65" t="str">
            <v>ППД Слов'янка (техніка)</v>
          </cell>
        </row>
        <row r="66">
          <cell r="B66" t="str">
            <v>1 піхотна рота</v>
          </cell>
          <cell r="I66" t="str">
            <v>солд.</v>
          </cell>
          <cell r="M66" t="str">
            <v>солдат</v>
          </cell>
          <cell r="U66" t="str">
            <v>В строю</v>
          </cell>
          <cell r="AE66" t="str">
            <v>На виконанні</v>
          </cell>
        </row>
        <row r="67">
          <cell r="B67" t="str">
            <v>1 піхотна рота</v>
          </cell>
          <cell r="I67" t="str">
            <v>солд.</v>
          </cell>
          <cell r="M67" t="str">
            <v>солдат</v>
          </cell>
          <cell r="U67" t="str">
            <v>В строю</v>
          </cell>
          <cell r="AE67" t="str">
            <v>КСП Павлоград</v>
          </cell>
        </row>
        <row r="68">
          <cell r="B68" t="str">
            <v>1 піхотна рота</v>
          </cell>
          <cell r="I68" t="str">
            <v>солд.</v>
          </cell>
        </row>
        <row r="69">
          <cell r="B69" t="str">
            <v>1 піхотна рота</v>
          </cell>
          <cell r="I69" t="str">
            <v>солд.</v>
          </cell>
        </row>
        <row r="70">
          <cell r="B70" t="str">
            <v>1 піхотна рота</v>
          </cell>
          <cell r="I70" t="str">
            <v>солд.</v>
          </cell>
          <cell r="M70" t="str">
            <v>солдат</v>
          </cell>
          <cell r="U70" t="str">
            <v>Лікування</v>
          </cell>
          <cell r="AE70" t="str">
            <v>Шпиталь</v>
          </cell>
        </row>
        <row r="71">
          <cell r="B71" t="str">
            <v>1 піхотна рота</v>
          </cell>
          <cell r="I71" t="str">
            <v>солд.</v>
          </cell>
          <cell r="M71" t="str">
            <v>солдат</v>
          </cell>
          <cell r="U71" t="str">
            <v>СЗЧ</v>
          </cell>
        </row>
        <row r="72">
          <cell r="B72" t="str">
            <v>1 піхотна рота</v>
          </cell>
          <cell r="I72" t="str">
            <v>солд.</v>
          </cell>
          <cell r="M72" t="str">
            <v>солдат</v>
          </cell>
          <cell r="U72" t="str">
            <v>Зниклі безвісти</v>
          </cell>
        </row>
        <row r="73">
          <cell r="B73" t="str">
            <v>1 піхотна рота</v>
          </cell>
          <cell r="I73" t="str">
            <v>Оф.</v>
          </cell>
        </row>
        <row r="74">
          <cell r="B74" t="str">
            <v>1 піхотна рота</v>
          </cell>
          <cell r="I74" t="str">
            <v>Серж.</v>
          </cell>
          <cell r="M74" t="str">
            <v>молодший сержант</v>
          </cell>
          <cell r="U74" t="str">
            <v>В строю</v>
          </cell>
          <cell r="AE74" t="str">
            <v>ППД Вишневе</v>
          </cell>
        </row>
        <row r="75">
          <cell r="B75" t="str">
            <v>1 піхотна рота</v>
          </cell>
          <cell r="I75" t="str">
            <v>солд.</v>
          </cell>
          <cell r="M75" t="str">
            <v>солдат</v>
          </cell>
          <cell r="U75" t="str">
            <v>В строю</v>
          </cell>
          <cell r="AE75" t="str">
            <v>ППД Лугова (літуни)</v>
          </cell>
        </row>
        <row r="76">
          <cell r="B76" t="str">
            <v>1 піхотна рота</v>
          </cell>
          <cell r="I76" t="str">
            <v>Серж.</v>
          </cell>
          <cell r="M76" t="str">
            <v>молодший сержант</v>
          </cell>
          <cell r="U76" t="str">
            <v>Загиблі</v>
          </cell>
        </row>
        <row r="77">
          <cell r="B77" t="str">
            <v>1 піхотна рота</v>
          </cell>
          <cell r="I77" t="str">
            <v>солд.</v>
          </cell>
          <cell r="M77" t="str">
            <v>солдат</v>
          </cell>
          <cell r="U77" t="str">
            <v>В строю</v>
          </cell>
          <cell r="AE77" t="str">
            <v>На виконанні</v>
          </cell>
        </row>
        <row r="78">
          <cell r="B78" t="str">
            <v>1 піхотна рота</v>
          </cell>
          <cell r="I78" t="str">
            <v>солд.</v>
          </cell>
          <cell r="M78" t="str">
            <v>солдат</v>
          </cell>
          <cell r="U78" t="str">
            <v>Лікування</v>
          </cell>
          <cell r="AE78" t="str">
            <v>Мед. рота</v>
          </cell>
        </row>
        <row r="79">
          <cell r="B79" t="str">
            <v>1 піхотна рота</v>
          </cell>
          <cell r="I79" t="str">
            <v>солд.</v>
          </cell>
          <cell r="M79" t="str">
            <v>солдат</v>
          </cell>
          <cell r="U79" t="str">
            <v>В строю</v>
          </cell>
          <cell r="AE79" t="str">
            <v>На виконанні</v>
          </cell>
        </row>
        <row r="80">
          <cell r="B80" t="str">
            <v>1 піхотна рота</v>
          </cell>
          <cell r="I80" t="str">
            <v>солд.</v>
          </cell>
          <cell r="M80" t="str">
            <v>солдат</v>
          </cell>
          <cell r="U80" t="str">
            <v>В строю</v>
          </cell>
          <cell r="AE80" t="str">
            <v>ППД Вишневе</v>
          </cell>
        </row>
        <row r="81">
          <cell r="B81" t="str">
            <v>1 піхотна рота</v>
          </cell>
          <cell r="I81" t="str">
            <v>солд.</v>
          </cell>
          <cell r="M81" t="str">
            <v>солдат</v>
          </cell>
          <cell r="U81" t="str">
            <v>В строю</v>
          </cell>
          <cell r="AE81" t="str">
            <v>ППД Вишневе</v>
          </cell>
        </row>
        <row r="82">
          <cell r="B82" t="str">
            <v>1 піхотна рота</v>
          </cell>
          <cell r="I82" t="str">
            <v>солд.</v>
          </cell>
          <cell r="M82" t="str">
            <v>солдат</v>
          </cell>
          <cell r="U82" t="str">
            <v>В строю</v>
          </cell>
          <cell r="AE82" t="str">
            <v>ППД Петропавлівка (літуни)</v>
          </cell>
        </row>
        <row r="83">
          <cell r="B83" t="str">
            <v>1 піхотна рота</v>
          </cell>
          <cell r="I83" t="str">
            <v>солд.</v>
          </cell>
          <cell r="M83" t="str">
            <v>солдат</v>
          </cell>
          <cell r="U83" t="str">
            <v>Лікування</v>
          </cell>
          <cell r="AE83" t="str">
            <v>Відпустка лікув.</v>
          </cell>
        </row>
        <row r="84">
          <cell r="B84" t="str">
            <v>1 піхотна рота</v>
          </cell>
          <cell r="I84" t="str">
            <v>солд.</v>
          </cell>
          <cell r="M84" t="str">
            <v>солдат</v>
          </cell>
          <cell r="U84" t="str">
            <v>Лікування</v>
          </cell>
          <cell r="AE84" t="str">
            <v>Шпиталь</v>
          </cell>
        </row>
        <row r="85">
          <cell r="B85" t="str">
            <v>1 піхотна рота</v>
          </cell>
          <cell r="I85" t="str">
            <v>Серж.</v>
          </cell>
          <cell r="M85" t="str">
            <v>солдат</v>
          </cell>
          <cell r="U85" t="str">
            <v>В строю</v>
          </cell>
          <cell r="AE85" t="str">
            <v>ППД Вишневе</v>
          </cell>
        </row>
        <row r="86">
          <cell r="B86" t="str">
            <v>1 піхотна рота</v>
          </cell>
          <cell r="I86" t="str">
            <v>солд.</v>
          </cell>
          <cell r="M86" t="str">
            <v>солдат</v>
          </cell>
          <cell r="U86" t="str">
            <v>Лікування</v>
          </cell>
          <cell r="AE86" t="str">
            <v>Відпустка лікув.</v>
          </cell>
        </row>
        <row r="87">
          <cell r="B87" t="str">
            <v>1 піхотна рота</v>
          </cell>
          <cell r="I87" t="str">
            <v>солд.</v>
          </cell>
          <cell r="M87" t="str">
            <v>солдат</v>
          </cell>
          <cell r="U87" t="str">
            <v>Лікування</v>
          </cell>
          <cell r="AE87" t="str">
            <v>Шпиталь</v>
          </cell>
        </row>
        <row r="88">
          <cell r="B88" t="str">
            <v>1 піхотна рота</v>
          </cell>
          <cell r="I88" t="str">
            <v>солд.</v>
          </cell>
          <cell r="M88" t="str">
            <v>солдат</v>
          </cell>
          <cell r="U88" t="str">
            <v>Відком. за межі ПБ</v>
          </cell>
        </row>
        <row r="89">
          <cell r="B89" t="str">
            <v>1 піхотна рота</v>
          </cell>
          <cell r="I89" t="str">
            <v>солд.</v>
          </cell>
          <cell r="M89" t="str">
            <v>солдат</v>
          </cell>
          <cell r="U89" t="str">
            <v>СЗЧ</v>
          </cell>
        </row>
        <row r="90">
          <cell r="B90" t="str">
            <v>1 піхотна рота</v>
          </cell>
          <cell r="I90" t="str">
            <v>солд.</v>
          </cell>
        </row>
        <row r="91">
          <cell r="B91" t="str">
            <v>1 піхотна рота</v>
          </cell>
          <cell r="I91" t="str">
            <v>солд.</v>
          </cell>
          <cell r="M91" t="str">
            <v>рядовий</v>
          </cell>
          <cell r="U91" t="str">
            <v>Відком. за межі ПБ</v>
          </cell>
        </row>
        <row r="92">
          <cell r="B92" t="str">
            <v>1 піхотна рота</v>
          </cell>
          <cell r="I92" t="str">
            <v>солд.</v>
          </cell>
          <cell r="M92" t="str">
            <v>солдат</v>
          </cell>
          <cell r="U92" t="str">
            <v>В строю</v>
          </cell>
          <cell r="AE92" t="str">
            <v>На виконанні</v>
          </cell>
        </row>
        <row r="93">
          <cell r="B93" t="str">
            <v>1 піхотна рота</v>
          </cell>
          <cell r="I93" t="str">
            <v>солд.</v>
          </cell>
          <cell r="M93" t="str">
            <v>солдат</v>
          </cell>
          <cell r="U93" t="str">
            <v>В строю</v>
          </cell>
          <cell r="AE93" t="str">
            <v>ППД Вишневе</v>
          </cell>
        </row>
        <row r="94">
          <cell r="B94" t="str">
            <v>1 піхотна рота</v>
          </cell>
          <cell r="I94" t="str">
            <v>Серж.</v>
          </cell>
          <cell r="M94" t="str">
            <v>сержант</v>
          </cell>
          <cell r="U94" t="str">
            <v>Не в сторою</v>
          </cell>
        </row>
        <row r="95">
          <cell r="B95" t="str">
            <v>1 піхотна рота</v>
          </cell>
          <cell r="I95" t="str">
            <v>солд.</v>
          </cell>
          <cell r="M95" t="str">
            <v>солдат</v>
          </cell>
          <cell r="U95" t="str">
            <v>В строю</v>
          </cell>
          <cell r="AE95" t="str">
            <v>ППД Вишневе</v>
          </cell>
        </row>
        <row r="96">
          <cell r="B96" t="str">
            <v>1 піхотна рота</v>
          </cell>
          <cell r="I96" t="str">
            <v>солд.</v>
          </cell>
        </row>
        <row r="97">
          <cell r="B97" t="str">
            <v>1 піхотна рота</v>
          </cell>
          <cell r="I97" t="str">
            <v>солд.</v>
          </cell>
        </row>
        <row r="98">
          <cell r="B98" t="str">
            <v>1 піхотна рота</v>
          </cell>
          <cell r="I98" t="str">
            <v>солд.</v>
          </cell>
          <cell r="M98" t="str">
            <v>молодший сержант</v>
          </cell>
          <cell r="U98" t="str">
            <v>Лікування</v>
          </cell>
          <cell r="AE98" t="str">
            <v>Шпиталь</v>
          </cell>
        </row>
        <row r="99">
          <cell r="B99" t="str">
            <v>1 піхотна рота</v>
          </cell>
          <cell r="I99" t="str">
            <v>солд.</v>
          </cell>
          <cell r="M99" t="str">
            <v>солдат</v>
          </cell>
          <cell r="U99" t="str">
            <v>Загиблі</v>
          </cell>
          <cell r="AE99" t="str">
            <v>Шпиталь</v>
          </cell>
        </row>
        <row r="100">
          <cell r="B100" t="str">
            <v>1 піхотна рота</v>
          </cell>
          <cell r="I100" t="str">
            <v>солд.</v>
          </cell>
          <cell r="M100" t="str">
            <v>солдат</v>
          </cell>
          <cell r="U100" t="str">
            <v>Лікування</v>
          </cell>
          <cell r="AE100" t="str">
            <v>Мед. рота</v>
          </cell>
        </row>
        <row r="101">
          <cell r="B101" t="str">
            <v>1 піхотна рота</v>
          </cell>
          <cell r="I101" t="str">
            <v>солд.</v>
          </cell>
          <cell r="M101" t="str">
            <v>солдат</v>
          </cell>
          <cell r="U101" t="str">
            <v>Відком. за межі ПБ</v>
          </cell>
        </row>
        <row r="102">
          <cell r="B102" t="str">
            <v>1 піхотна рота</v>
          </cell>
          <cell r="I102" t="str">
            <v>солд.</v>
          </cell>
          <cell r="M102" t="str">
            <v>солдат</v>
          </cell>
          <cell r="U102" t="str">
            <v>В строю</v>
          </cell>
          <cell r="AE102" t="str">
            <v>ППД Вишневе</v>
          </cell>
        </row>
        <row r="103">
          <cell r="B103" t="str">
            <v>1 піхотна рота</v>
          </cell>
          <cell r="I103" t="str">
            <v>Оф.</v>
          </cell>
          <cell r="M103" t="str">
            <v>старший лейтенант</v>
          </cell>
          <cell r="U103" t="str">
            <v>Лікування</v>
          </cell>
          <cell r="AE103" t="str">
            <v>Шпиталь</v>
          </cell>
        </row>
        <row r="104">
          <cell r="B104" t="str">
            <v>1 піхотна рота</v>
          </cell>
          <cell r="I104" t="str">
            <v>Серж.</v>
          </cell>
          <cell r="M104" t="str">
            <v>солдат</v>
          </cell>
          <cell r="U104" t="str">
            <v>В строю</v>
          </cell>
          <cell r="AE104" t="str">
            <v>ППД Слов'янка (13-й)</v>
          </cell>
        </row>
        <row r="105">
          <cell r="B105" t="str">
            <v>1 піхотна рота</v>
          </cell>
          <cell r="I105" t="str">
            <v>солд.</v>
          </cell>
        </row>
        <row r="106">
          <cell r="B106" t="str">
            <v>1 піхотна рота</v>
          </cell>
          <cell r="I106" t="str">
            <v>Серж.</v>
          </cell>
          <cell r="M106" t="str">
            <v>молодший сержант</v>
          </cell>
          <cell r="U106" t="str">
            <v>В строю</v>
          </cell>
          <cell r="AE106" t="str">
            <v>ППД Самарське (літуни)</v>
          </cell>
        </row>
        <row r="107">
          <cell r="B107" t="str">
            <v>1 піхотна рота</v>
          </cell>
          <cell r="I107" t="str">
            <v>солд.</v>
          </cell>
          <cell r="M107" t="str">
            <v>солдат</v>
          </cell>
          <cell r="U107" t="str">
            <v>Лікування</v>
          </cell>
          <cell r="AE107" t="str">
            <v>Шпиталь</v>
          </cell>
        </row>
        <row r="108">
          <cell r="B108" t="str">
            <v>1 піхотна рота</v>
          </cell>
          <cell r="I108" t="str">
            <v>солд.</v>
          </cell>
          <cell r="M108" t="str">
            <v>солдат</v>
          </cell>
          <cell r="U108" t="str">
            <v>В строю</v>
          </cell>
          <cell r="AE108" t="str">
            <v>ППД Вишневе</v>
          </cell>
        </row>
        <row r="109">
          <cell r="B109" t="str">
            <v>1 піхотна рота</v>
          </cell>
          <cell r="I109" t="str">
            <v>солд.</v>
          </cell>
        </row>
        <row r="110">
          <cell r="B110" t="str">
            <v>1 піхотна рота</v>
          </cell>
          <cell r="I110" t="str">
            <v>солд.</v>
          </cell>
          <cell r="M110" t="str">
            <v>солдат</v>
          </cell>
          <cell r="U110" t="str">
            <v>Лікування</v>
          </cell>
          <cell r="AE110" t="str">
            <v>Шпиталь</v>
          </cell>
        </row>
        <row r="111">
          <cell r="B111" t="str">
            <v>1 піхотна рота</v>
          </cell>
          <cell r="I111" t="str">
            <v>солд.</v>
          </cell>
          <cell r="M111" t="str">
            <v>солдат</v>
          </cell>
          <cell r="U111" t="str">
            <v>Загиблі</v>
          </cell>
        </row>
        <row r="112">
          <cell r="B112" t="str">
            <v>1 піхотна рота</v>
          </cell>
          <cell r="I112" t="str">
            <v>солд.</v>
          </cell>
        </row>
        <row r="113">
          <cell r="B113" t="str">
            <v>1 піхотна рота</v>
          </cell>
          <cell r="I113" t="str">
            <v>солд.</v>
          </cell>
          <cell r="M113" t="str">
            <v>солдат</v>
          </cell>
          <cell r="U113" t="str">
            <v>В строю</v>
          </cell>
          <cell r="AE113" t="str">
            <v>ППД Вишневе</v>
          </cell>
        </row>
        <row r="114">
          <cell r="B114" t="str">
            <v>1 піхотна рота</v>
          </cell>
          <cell r="I114" t="str">
            <v>солд.</v>
          </cell>
          <cell r="M114" t="str">
            <v>солдат</v>
          </cell>
          <cell r="U114" t="str">
            <v>В строю</v>
          </cell>
          <cell r="AE114" t="str">
            <v>На виконанні</v>
          </cell>
        </row>
        <row r="115">
          <cell r="B115" t="str">
            <v>1 піхотна рота</v>
          </cell>
          <cell r="I115" t="str">
            <v>Серж.</v>
          </cell>
          <cell r="M115" t="str">
            <v>солдат</v>
          </cell>
          <cell r="U115" t="str">
            <v>В строю</v>
          </cell>
          <cell r="AE115" t="str">
            <v>ППД Вишневе</v>
          </cell>
        </row>
        <row r="116">
          <cell r="B116" t="str">
            <v>1 піхотна рота</v>
          </cell>
          <cell r="I116" t="str">
            <v>солд.</v>
          </cell>
          <cell r="M116" t="str">
            <v>солдат</v>
          </cell>
          <cell r="U116" t="str">
            <v>В строю</v>
          </cell>
          <cell r="AE116" t="str">
            <v>На виконанні</v>
          </cell>
        </row>
        <row r="117">
          <cell r="B117" t="str">
            <v>1 піхотна рота</v>
          </cell>
          <cell r="I117" t="str">
            <v>солд.</v>
          </cell>
          <cell r="M117" t="str">
            <v>солдат</v>
          </cell>
          <cell r="U117" t="str">
            <v>В строю</v>
          </cell>
          <cell r="AE117" t="str">
            <v>На виконанні</v>
          </cell>
        </row>
        <row r="118">
          <cell r="B118" t="str">
            <v>1 піхотна рота</v>
          </cell>
          <cell r="I118" t="str">
            <v>солд.</v>
          </cell>
          <cell r="M118" t="str">
            <v>солдат</v>
          </cell>
          <cell r="U118" t="str">
            <v>В строю</v>
          </cell>
          <cell r="AE118" t="str">
            <v>На виконанні</v>
          </cell>
        </row>
        <row r="119">
          <cell r="B119" t="str">
            <v>1 піхотна рота</v>
          </cell>
          <cell r="I119" t="str">
            <v>солд.</v>
          </cell>
        </row>
        <row r="120">
          <cell r="B120" t="str">
            <v>1 піхотна рота</v>
          </cell>
          <cell r="I120" t="str">
            <v>солд.</v>
          </cell>
          <cell r="M120" t="str">
            <v>старший солдат</v>
          </cell>
          <cell r="U120" t="str">
            <v>Відком. за межі ПБ</v>
          </cell>
          <cell r="AE120" t="str">
            <v>Полк</v>
          </cell>
        </row>
        <row r="121">
          <cell r="B121" t="str">
            <v>1 піхотна рота</v>
          </cell>
          <cell r="I121" t="str">
            <v>солд.</v>
          </cell>
          <cell r="M121" t="str">
            <v>солдат</v>
          </cell>
          <cell r="U121" t="str">
            <v>В строю</v>
          </cell>
          <cell r="AE121" t="str">
            <v>На виконанні</v>
          </cell>
        </row>
        <row r="122">
          <cell r="B122" t="str">
            <v>1 піхотна рота</v>
          </cell>
          <cell r="I122" t="str">
            <v>солд.</v>
          </cell>
        </row>
        <row r="123">
          <cell r="B123" t="str">
            <v>1 піхотна рота</v>
          </cell>
          <cell r="I123" t="str">
            <v>солд.</v>
          </cell>
          <cell r="M123" t="str">
            <v>солдат</v>
          </cell>
          <cell r="U123" t="str">
            <v>В строю</v>
          </cell>
          <cell r="AE123" t="str">
            <v>На виконанні</v>
          </cell>
        </row>
        <row r="124">
          <cell r="B124" t="str">
            <v>1 піхотна рота</v>
          </cell>
          <cell r="I124" t="str">
            <v>Серж.</v>
          </cell>
          <cell r="M124" t="str">
            <v>молодший сержант</v>
          </cell>
          <cell r="U124" t="str">
            <v>В строю</v>
          </cell>
          <cell r="AE124" t="str">
            <v>КСП Павлоград</v>
          </cell>
        </row>
        <row r="125">
          <cell r="B125" t="str">
            <v>1 піхотна рота</v>
          </cell>
          <cell r="I125" t="str">
            <v>солд.</v>
          </cell>
        </row>
        <row r="126">
          <cell r="B126" t="str">
            <v>1 піхотна рота</v>
          </cell>
          <cell r="I126" t="str">
            <v>солд.</v>
          </cell>
        </row>
        <row r="127">
          <cell r="B127" t="str">
            <v>1 піхотна рота</v>
          </cell>
          <cell r="I127" t="str">
            <v>солд.</v>
          </cell>
          <cell r="M127" t="str">
            <v>солдат</v>
          </cell>
          <cell r="U127" t="str">
            <v>В строю</v>
          </cell>
          <cell r="AE127" t="str">
            <v>ППД Вишневе</v>
          </cell>
        </row>
        <row r="128">
          <cell r="B128" t="str">
            <v>1 піхотна рота</v>
          </cell>
          <cell r="I128" t="str">
            <v>солд.</v>
          </cell>
          <cell r="M128" t="str">
            <v>солдат</v>
          </cell>
          <cell r="U128" t="str">
            <v>В строю</v>
          </cell>
          <cell r="AE128" t="str">
            <v>ППД Петропавлівка</v>
          </cell>
        </row>
        <row r="129">
          <cell r="B129" t="str">
            <v>1 піхотна рота</v>
          </cell>
          <cell r="I129" t="str">
            <v>солд.</v>
          </cell>
        </row>
        <row r="130">
          <cell r="B130" t="str">
            <v>1 піхотна рота</v>
          </cell>
          <cell r="I130" t="str">
            <v>солд.</v>
          </cell>
          <cell r="M130" t="str">
            <v>солдат</v>
          </cell>
          <cell r="U130" t="str">
            <v>В строю</v>
          </cell>
          <cell r="AE130" t="str">
            <v>ППД Слов'янка (13-й)</v>
          </cell>
        </row>
        <row r="131">
          <cell r="B131" t="str">
            <v>1 піхотна рота</v>
          </cell>
          <cell r="I131" t="str">
            <v>солд.</v>
          </cell>
        </row>
        <row r="132">
          <cell r="B132" t="str">
            <v>1 піхотна рота</v>
          </cell>
          <cell r="I132" t="str">
            <v>солд.</v>
          </cell>
        </row>
        <row r="133">
          <cell r="B133" t="str">
            <v>1 піхотна рота</v>
          </cell>
          <cell r="I133" t="str">
            <v>Оф.</v>
          </cell>
          <cell r="M133" t="str">
            <v>молодший лейтенант</v>
          </cell>
          <cell r="U133" t="str">
            <v>Відком. за межі ПБ</v>
          </cell>
          <cell r="AE133" t="str">
            <v>Мед. рота</v>
          </cell>
        </row>
        <row r="134">
          <cell r="B134" t="str">
            <v>1 піхотна рота</v>
          </cell>
          <cell r="I134" t="str">
            <v>Серж.</v>
          </cell>
          <cell r="M134" t="str">
            <v>молодший сержант</v>
          </cell>
          <cell r="U134" t="str">
            <v>В строю</v>
          </cell>
          <cell r="AE134" t="str">
            <v>ППД Слов'янка (техніка)</v>
          </cell>
        </row>
        <row r="135">
          <cell r="B135" t="str">
            <v>1 піхотна рота</v>
          </cell>
          <cell r="I135" t="str">
            <v>Серж.</v>
          </cell>
          <cell r="M135" t="str">
            <v>молодший сержант</v>
          </cell>
          <cell r="U135" t="str">
            <v>В строю</v>
          </cell>
          <cell r="AE135" t="str">
            <v>ППД Вишневе</v>
          </cell>
        </row>
        <row r="136">
          <cell r="B136" t="str">
            <v>1 піхотна рота</v>
          </cell>
          <cell r="I136" t="str">
            <v>Серж.</v>
          </cell>
          <cell r="M136" t="str">
            <v>молодший сержант</v>
          </cell>
          <cell r="U136" t="str">
            <v>В строю</v>
          </cell>
          <cell r="AE136" t="str">
            <v>ППД Вишневе</v>
          </cell>
        </row>
        <row r="137">
          <cell r="B137" t="str">
            <v>1 піхотна рота</v>
          </cell>
          <cell r="I137" t="str">
            <v>солд.</v>
          </cell>
          <cell r="M137" t="str">
            <v>солдат</v>
          </cell>
          <cell r="U137" t="str">
            <v>В строю</v>
          </cell>
          <cell r="AE137" t="str">
            <v>На виконанні</v>
          </cell>
        </row>
        <row r="138">
          <cell r="B138" t="str">
            <v>1 піхотна рота</v>
          </cell>
          <cell r="I138" t="str">
            <v>солд.</v>
          </cell>
          <cell r="M138" t="str">
            <v>солдат</v>
          </cell>
          <cell r="U138" t="str">
            <v>Відком. за межі ПБ</v>
          </cell>
        </row>
        <row r="139">
          <cell r="B139" t="str">
            <v>1 піхотна рота</v>
          </cell>
          <cell r="I139" t="str">
            <v>солд.</v>
          </cell>
        </row>
        <row r="140">
          <cell r="B140" t="str">
            <v>1 піхотна рота</v>
          </cell>
          <cell r="I140" t="str">
            <v>солд.</v>
          </cell>
          <cell r="M140" t="str">
            <v>солдат</v>
          </cell>
          <cell r="U140" t="str">
            <v>Лікування</v>
          </cell>
          <cell r="AE140" t="str">
            <v>Шпиталь</v>
          </cell>
        </row>
        <row r="141">
          <cell r="B141" t="str">
            <v>1 піхотна рота</v>
          </cell>
          <cell r="I141" t="str">
            <v>солд.</v>
          </cell>
        </row>
        <row r="142">
          <cell r="B142" t="str">
            <v>1 піхотна рота</v>
          </cell>
          <cell r="I142" t="str">
            <v>солд.</v>
          </cell>
          <cell r="M142" t="str">
            <v>солдат</v>
          </cell>
          <cell r="U142" t="str">
            <v>В строю</v>
          </cell>
          <cell r="AE142" t="str">
            <v>На виконанні</v>
          </cell>
        </row>
        <row r="143">
          <cell r="B143" t="str">
            <v>1 піхотна рота</v>
          </cell>
          <cell r="I143" t="str">
            <v>солд.</v>
          </cell>
        </row>
        <row r="144">
          <cell r="B144" t="str">
            <v>1 піхотна рота</v>
          </cell>
          <cell r="I144" t="str">
            <v>солд.</v>
          </cell>
          <cell r="M144" t="str">
            <v>солдат</v>
          </cell>
          <cell r="U144" t="str">
            <v>Лікування</v>
          </cell>
          <cell r="AE144" t="str">
            <v>Шпиталь</v>
          </cell>
        </row>
        <row r="145">
          <cell r="B145" t="str">
            <v>1 піхотна рота</v>
          </cell>
          <cell r="I145" t="str">
            <v>солд.</v>
          </cell>
        </row>
        <row r="146">
          <cell r="B146" t="str">
            <v>1 піхотна рота</v>
          </cell>
          <cell r="I146" t="str">
            <v>солд.</v>
          </cell>
        </row>
        <row r="147">
          <cell r="B147" t="str">
            <v>2 піхотна рота</v>
          </cell>
          <cell r="I147" t="str">
            <v>Оф.</v>
          </cell>
          <cell r="M147" t="str">
            <v>капітан</v>
          </cell>
          <cell r="U147" t="str">
            <v>В строю</v>
          </cell>
          <cell r="AE147" t="str">
            <v>КСП Павлоград</v>
          </cell>
        </row>
        <row r="148">
          <cell r="B148" t="str">
            <v>2 піхотна рота</v>
          </cell>
          <cell r="I148" t="str">
            <v>Оф.</v>
          </cell>
        </row>
        <row r="149">
          <cell r="B149" t="str">
            <v>2 піхотна рота</v>
          </cell>
          <cell r="I149" t="str">
            <v>Оф.</v>
          </cell>
        </row>
        <row r="150">
          <cell r="B150" t="str">
            <v>2 піхотна рота</v>
          </cell>
          <cell r="I150" t="str">
            <v>Серж.</v>
          </cell>
          <cell r="M150" t="str">
            <v>молодший сержант</v>
          </cell>
          <cell r="U150" t="str">
            <v>В строю</v>
          </cell>
          <cell r="AE150" t="str">
            <v>ППД Петропавлівка</v>
          </cell>
        </row>
        <row r="151">
          <cell r="B151" t="str">
            <v>2 піхотна рота</v>
          </cell>
          <cell r="I151" t="str">
            <v>Серж.</v>
          </cell>
          <cell r="M151" t="str">
            <v>сержант</v>
          </cell>
          <cell r="U151" t="str">
            <v>Лікування</v>
          </cell>
          <cell r="AE151" t="str">
            <v>Шпиталь</v>
          </cell>
        </row>
        <row r="152">
          <cell r="B152" t="str">
            <v>2 піхотна рота</v>
          </cell>
          <cell r="I152" t="str">
            <v>Серж.</v>
          </cell>
          <cell r="M152" t="str">
            <v>молодший сержант</v>
          </cell>
          <cell r="U152" t="str">
            <v>В строю</v>
          </cell>
          <cell r="AE152" t="str">
            <v>ППД Вишневе</v>
          </cell>
        </row>
        <row r="153">
          <cell r="B153" t="str">
            <v>2 піхотна рота</v>
          </cell>
          <cell r="I153" t="str">
            <v>Серж.</v>
          </cell>
          <cell r="M153" t="str">
            <v>молодший сержант</v>
          </cell>
          <cell r="U153" t="str">
            <v>Відпустка</v>
          </cell>
        </row>
        <row r="154">
          <cell r="B154" t="str">
            <v>2 піхотна рота</v>
          </cell>
          <cell r="I154" t="str">
            <v>солд.</v>
          </cell>
          <cell r="M154" t="str">
            <v>солдат</v>
          </cell>
          <cell r="U154" t="str">
            <v>В строю</v>
          </cell>
          <cell r="AE154" t="str">
            <v>ППД Польова</v>
          </cell>
        </row>
        <row r="155">
          <cell r="B155" t="str">
            <v>2 піхотна рота</v>
          </cell>
          <cell r="I155" t="str">
            <v>солд.</v>
          </cell>
          <cell r="M155" t="str">
            <v>солдат</v>
          </cell>
          <cell r="U155" t="str">
            <v>Загиблі</v>
          </cell>
        </row>
        <row r="156">
          <cell r="B156" t="str">
            <v>2 піхотна рота</v>
          </cell>
          <cell r="I156" t="str">
            <v>Оф.</v>
          </cell>
          <cell r="M156" t="str">
            <v>лейтенант</v>
          </cell>
          <cell r="U156" t="str">
            <v>Відком. за межі ПБ</v>
          </cell>
          <cell r="AE156" t="str">
            <v>Полк</v>
          </cell>
        </row>
        <row r="157">
          <cell r="B157" t="str">
            <v>2 піхотна рота</v>
          </cell>
          <cell r="I157" t="str">
            <v>Серж.</v>
          </cell>
          <cell r="M157" t="str">
            <v>молодший сержант</v>
          </cell>
          <cell r="U157" t="str">
            <v>В строю</v>
          </cell>
          <cell r="AE157" t="str">
            <v>КСП Павлоград</v>
          </cell>
        </row>
        <row r="158">
          <cell r="B158" t="str">
            <v>2 піхотна рота</v>
          </cell>
          <cell r="I158" t="str">
            <v>солд.</v>
          </cell>
        </row>
        <row r="159">
          <cell r="B159" t="str">
            <v>2 піхотна рота</v>
          </cell>
          <cell r="I159" t="str">
            <v>Серж.</v>
          </cell>
          <cell r="M159" t="str">
            <v>молодший сержант</v>
          </cell>
          <cell r="U159" t="str">
            <v>В строю</v>
          </cell>
          <cell r="AE159" t="str">
            <v>ППД Самарське (літуни)</v>
          </cell>
        </row>
        <row r="160">
          <cell r="B160" t="str">
            <v>2 піхотна рота</v>
          </cell>
          <cell r="I160" t="str">
            <v>солд.</v>
          </cell>
          <cell r="M160" t="str">
            <v>молодший сержант</v>
          </cell>
          <cell r="U160" t="str">
            <v>Лікування</v>
          </cell>
          <cell r="AE160" t="str">
            <v>Шпиталь</v>
          </cell>
        </row>
        <row r="161">
          <cell r="B161" t="str">
            <v>2 піхотна рота</v>
          </cell>
          <cell r="I161" t="str">
            <v>солд.</v>
          </cell>
          <cell r="M161" t="str">
            <v>солдат</v>
          </cell>
          <cell r="U161" t="str">
            <v>Лікування</v>
          </cell>
          <cell r="AE161" t="str">
            <v>Відпустка лікув.</v>
          </cell>
        </row>
        <row r="162">
          <cell r="B162" t="str">
            <v>2 піхотна рота</v>
          </cell>
          <cell r="I162" t="str">
            <v>солд.</v>
          </cell>
        </row>
        <row r="163">
          <cell r="B163" t="str">
            <v>2 піхотна рота</v>
          </cell>
          <cell r="I163" t="str">
            <v>солд.</v>
          </cell>
          <cell r="M163" t="str">
            <v>солдат</v>
          </cell>
          <cell r="U163" t="str">
            <v>В строю</v>
          </cell>
          <cell r="AE163" t="str">
            <v>ППД Вишневе</v>
          </cell>
        </row>
        <row r="164">
          <cell r="B164" t="str">
            <v>2 піхотна рота</v>
          </cell>
          <cell r="I164" t="str">
            <v>солд.</v>
          </cell>
          <cell r="M164" t="str">
            <v>солдат</v>
          </cell>
          <cell r="U164" t="str">
            <v>В строю</v>
          </cell>
          <cell r="AE164" t="str">
            <v>ППД Вишневе</v>
          </cell>
        </row>
        <row r="165">
          <cell r="B165" t="str">
            <v>2 піхотна рота</v>
          </cell>
          <cell r="I165" t="str">
            <v>солд.</v>
          </cell>
          <cell r="M165" t="str">
            <v>солдат</v>
          </cell>
          <cell r="U165" t="str">
            <v>Лікування</v>
          </cell>
          <cell r="AE165" t="str">
            <v>Шпиталь</v>
          </cell>
        </row>
        <row r="166">
          <cell r="B166" t="str">
            <v>2 піхотна рота</v>
          </cell>
          <cell r="I166" t="str">
            <v>солд.</v>
          </cell>
          <cell r="M166" t="str">
            <v>солдат</v>
          </cell>
          <cell r="U166" t="str">
            <v>Лікування</v>
          </cell>
          <cell r="AE166" t="str">
            <v>Шпиталь</v>
          </cell>
        </row>
        <row r="167">
          <cell r="B167" t="str">
            <v>2 піхотна рота</v>
          </cell>
          <cell r="I167" t="str">
            <v>солд.</v>
          </cell>
          <cell r="M167" t="str">
            <v>солдат</v>
          </cell>
          <cell r="U167" t="str">
            <v>СЗЧ</v>
          </cell>
        </row>
        <row r="168">
          <cell r="B168" t="str">
            <v>2 піхотна рота</v>
          </cell>
          <cell r="I168" t="str">
            <v>Серж.</v>
          </cell>
          <cell r="M168" t="str">
            <v>молодший сержант</v>
          </cell>
          <cell r="U168" t="str">
            <v>В строю</v>
          </cell>
          <cell r="AE168" t="str">
            <v>ППД Вишневе</v>
          </cell>
        </row>
        <row r="169">
          <cell r="B169" t="str">
            <v>2 піхотна рота</v>
          </cell>
          <cell r="I169" t="str">
            <v>солд.</v>
          </cell>
          <cell r="M169" t="str">
            <v>солдат</v>
          </cell>
          <cell r="U169" t="str">
            <v>Відком. за межі ПБ</v>
          </cell>
          <cell r="AE169" t="str">
            <v>Полк</v>
          </cell>
        </row>
        <row r="170">
          <cell r="B170" t="str">
            <v>2 піхотна рота</v>
          </cell>
          <cell r="I170" t="str">
            <v>солд.</v>
          </cell>
          <cell r="M170" t="str">
            <v>солдат</v>
          </cell>
          <cell r="U170" t="str">
            <v>Лікування</v>
          </cell>
          <cell r="AE170" t="str">
            <v>Шпиталь</v>
          </cell>
        </row>
        <row r="171">
          <cell r="B171" t="str">
            <v>2 піхотна рота</v>
          </cell>
          <cell r="I171" t="str">
            <v>солд.</v>
          </cell>
          <cell r="M171" t="str">
            <v>солдат</v>
          </cell>
          <cell r="U171" t="str">
            <v>Лікування</v>
          </cell>
          <cell r="AE171" t="str">
            <v>Шпиталь</v>
          </cell>
        </row>
        <row r="172">
          <cell r="B172" t="str">
            <v>2 піхотна рота</v>
          </cell>
          <cell r="I172" t="str">
            <v>солд.</v>
          </cell>
        </row>
        <row r="173">
          <cell r="B173" t="str">
            <v>2 піхотна рота</v>
          </cell>
          <cell r="I173" t="str">
            <v>солд.</v>
          </cell>
          <cell r="M173" t="str">
            <v>солдат</v>
          </cell>
          <cell r="U173" t="str">
            <v>Лікування</v>
          </cell>
          <cell r="AE173" t="str">
            <v>Шпиталь</v>
          </cell>
        </row>
        <row r="174">
          <cell r="B174" t="str">
            <v>2 піхотна рота</v>
          </cell>
          <cell r="I174" t="str">
            <v>солд.</v>
          </cell>
          <cell r="M174" t="str">
            <v>солдат</v>
          </cell>
          <cell r="U174" t="str">
            <v>Лікування</v>
          </cell>
          <cell r="AE174" t="str">
            <v>Відпустка лікув.</v>
          </cell>
        </row>
        <row r="175">
          <cell r="B175" t="str">
            <v>2 піхотна рота</v>
          </cell>
          <cell r="I175" t="str">
            <v>солд.</v>
          </cell>
          <cell r="M175" t="str">
            <v>солдат</v>
          </cell>
          <cell r="U175" t="str">
            <v>В строю</v>
          </cell>
          <cell r="AE175" t="str">
            <v>ППД Вишневе</v>
          </cell>
        </row>
        <row r="176">
          <cell r="B176" t="str">
            <v>2 піхотна рота</v>
          </cell>
          <cell r="I176" t="str">
            <v>солд.</v>
          </cell>
          <cell r="M176" t="str">
            <v>солдат</v>
          </cell>
          <cell r="U176" t="str">
            <v>Відком. за межі ПБ</v>
          </cell>
          <cell r="AE176" t="str">
            <v>Полк</v>
          </cell>
        </row>
        <row r="177">
          <cell r="B177" t="str">
            <v>2 піхотна рота</v>
          </cell>
          <cell r="I177" t="str">
            <v>Серж.</v>
          </cell>
          <cell r="M177" t="str">
            <v>сержант</v>
          </cell>
          <cell r="U177" t="str">
            <v>В строю</v>
          </cell>
          <cell r="AE177" t="str">
            <v>н.п. Бажани</v>
          </cell>
        </row>
        <row r="178">
          <cell r="B178" t="str">
            <v>2 піхотна рота</v>
          </cell>
          <cell r="I178" t="str">
            <v>солд.</v>
          </cell>
          <cell r="M178" t="str">
            <v>солдат</v>
          </cell>
          <cell r="U178" t="str">
            <v>В строю</v>
          </cell>
          <cell r="AE178" t="str">
            <v>На виконанні</v>
          </cell>
        </row>
        <row r="179">
          <cell r="B179" t="str">
            <v>2 піхотна рота</v>
          </cell>
          <cell r="I179" t="str">
            <v>солд.</v>
          </cell>
          <cell r="M179" t="str">
            <v>солдат</v>
          </cell>
          <cell r="U179" t="str">
            <v>Лікування</v>
          </cell>
          <cell r="AE179" t="str">
            <v>Шпиталь</v>
          </cell>
        </row>
        <row r="180">
          <cell r="B180" t="str">
            <v>2 піхотна рота</v>
          </cell>
          <cell r="I180" t="str">
            <v>солд.</v>
          </cell>
          <cell r="M180" t="str">
            <v>солдат</v>
          </cell>
          <cell r="U180" t="str">
            <v>Загиблі</v>
          </cell>
        </row>
        <row r="181">
          <cell r="B181" t="str">
            <v>2 піхотна рота</v>
          </cell>
          <cell r="I181" t="str">
            <v>солд.</v>
          </cell>
          <cell r="M181" t="str">
            <v>солдат</v>
          </cell>
          <cell r="U181" t="str">
            <v>Лікування</v>
          </cell>
          <cell r="AE181" t="str">
            <v>Шпиталь</v>
          </cell>
        </row>
        <row r="182">
          <cell r="B182" t="str">
            <v>2 піхотна рота</v>
          </cell>
          <cell r="I182" t="str">
            <v>солд.</v>
          </cell>
          <cell r="M182" t="str">
            <v>солдат</v>
          </cell>
          <cell r="U182" t="str">
            <v>Відком. за межі ПБ</v>
          </cell>
          <cell r="AE182" t="str">
            <v>Полк</v>
          </cell>
        </row>
        <row r="183">
          <cell r="B183" t="str">
            <v>2 піхотна рота</v>
          </cell>
          <cell r="I183" t="str">
            <v>солд.</v>
          </cell>
          <cell r="M183" t="str">
            <v>солдат</v>
          </cell>
          <cell r="U183" t="str">
            <v>Зниклі безвісти</v>
          </cell>
        </row>
        <row r="184">
          <cell r="B184" t="str">
            <v>2 піхотна рота</v>
          </cell>
          <cell r="I184" t="str">
            <v>солд.</v>
          </cell>
          <cell r="M184" t="str">
            <v>солдат</v>
          </cell>
          <cell r="U184" t="str">
            <v>В строю</v>
          </cell>
          <cell r="AE184" t="str">
            <v>На виконанні</v>
          </cell>
        </row>
        <row r="185">
          <cell r="B185" t="str">
            <v>2 піхотна рота</v>
          </cell>
          <cell r="I185" t="str">
            <v>солд.</v>
          </cell>
        </row>
        <row r="186">
          <cell r="B186" t="str">
            <v>2 піхотна рота</v>
          </cell>
          <cell r="I186" t="str">
            <v>Оф.</v>
          </cell>
          <cell r="M186" t="str">
            <v>молодший лейтенант</v>
          </cell>
          <cell r="U186" t="str">
            <v>Відком. за межі ПБ</v>
          </cell>
          <cell r="AE186" t="str">
            <v>Полк</v>
          </cell>
        </row>
        <row r="187">
          <cell r="B187" t="str">
            <v>2 піхотна рота</v>
          </cell>
          <cell r="I187" t="str">
            <v>Серж.</v>
          </cell>
          <cell r="M187" t="str">
            <v>солдат</v>
          </cell>
          <cell r="U187" t="str">
            <v>В строю</v>
          </cell>
          <cell r="AE187" t="str">
            <v>ППД Вишневе</v>
          </cell>
        </row>
        <row r="188">
          <cell r="B188" t="str">
            <v>2 піхотна рота</v>
          </cell>
          <cell r="I188" t="str">
            <v>солд.</v>
          </cell>
          <cell r="M188" t="str">
            <v>солдат</v>
          </cell>
          <cell r="U188" t="str">
            <v>В строю</v>
          </cell>
          <cell r="AE188" t="str">
            <v>На виконанні</v>
          </cell>
        </row>
        <row r="189">
          <cell r="B189" t="str">
            <v>2 піхотна рота</v>
          </cell>
          <cell r="I189" t="str">
            <v>Серж.</v>
          </cell>
          <cell r="M189" t="str">
            <v>молодший сержант</v>
          </cell>
          <cell r="U189" t="str">
            <v>В строю</v>
          </cell>
          <cell r="AE189" t="str">
            <v>ППД Вишневе</v>
          </cell>
        </row>
        <row r="190">
          <cell r="B190" t="str">
            <v>2 піхотна рота</v>
          </cell>
          <cell r="I190" t="str">
            <v>солд.</v>
          </cell>
          <cell r="M190" t="str">
            <v>солдат</v>
          </cell>
          <cell r="U190" t="str">
            <v>Лікування</v>
          </cell>
          <cell r="AE190" t="str">
            <v>Відпустка лікув.</v>
          </cell>
        </row>
        <row r="191">
          <cell r="B191" t="str">
            <v>2 піхотна рота</v>
          </cell>
          <cell r="I191" t="str">
            <v>солд.</v>
          </cell>
          <cell r="M191" t="str">
            <v>солдат</v>
          </cell>
          <cell r="U191" t="str">
            <v>В строю</v>
          </cell>
          <cell r="AE191" t="str">
            <v>На виконанні</v>
          </cell>
        </row>
        <row r="192">
          <cell r="B192" t="str">
            <v>2 піхотна рота</v>
          </cell>
          <cell r="I192" t="str">
            <v>солд.</v>
          </cell>
          <cell r="M192" t="str">
            <v>солдат</v>
          </cell>
          <cell r="U192" t="str">
            <v>Лікування</v>
          </cell>
          <cell r="AE192" t="str">
            <v>Шпиталь</v>
          </cell>
        </row>
        <row r="193">
          <cell r="B193" t="str">
            <v>2 піхотна рота</v>
          </cell>
          <cell r="I193" t="str">
            <v>солд.</v>
          </cell>
          <cell r="M193" t="str">
            <v>солдат</v>
          </cell>
          <cell r="U193" t="str">
            <v>В строю</v>
          </cell>
          <cell r="AE193" t="str">
            <v>ППД Вишневе</v>
          </cell>
        </row>
        <row r="194">
          <cell r="B194" t="str">
            <v>2 піхотна рота</v>
          </cell>
          <cell r="I194" t="str">
            <v>солд.</v>
          </cell>
          <cell r="M194" t="str">
            <v>солдат</v>
          </cell>
          <cell r="U194" t="str">
            <v>В строю</v>
          </cell>
          <cell r="AE194" t="str">
            <v>На виконанні</v>
          </cell>
        </row>
        <row r="195">
          <cell r="B195" t="str">
            <v>2 піхотна рота</v>
          </cell>
          <cell r="I195" t="str">
            <v>солд.</v>
          </cell>
          <cell r="M195" t="str">
            <v>солдат</v>
          </cell>
          <cell r="U195" t="str">
            <v>В строю</v>
          </cell>
          <cell r="AE195" t="str">
            <v>КСП Павлоград</v>
          </cell>
        </row>
        <row r="196">
          <cell r="B196" t="str">
            <v>2 піхотна рота</v>
          </cell>
          <cell r="I196" t="str">
            <v>солд.</v>
          </cell>
          <cell r="M196" t="str">
            <v>солдат</v>
          </cell>
          <cell r="U196" t="str">
            <v>В строю</v>
          </cell>
          <cell r="AE196" t="str">
            <v>КСП Павлоград</v>
          </cell>
        </row>
        <row r="197">
          <cell r="B197" t="str">
            <v>2 піхотна рота</v>
          </cell>
          <cell r="I197" t="str">
            <v>солд.</v>
          </cell>
          <cell r="M197" t="str">
            <v>солдат</v>
          </cell>
          <cell r="U197" t="str">
            <v>В строю</v>
          </cell>
          <cell r="AE197" t="str">
            <v>ППД Вишневе</v>
          </cell>
        </row>
        <row r="198">
          <cell r="B198" t="str">
            <v>2 піхотна рота</v>
          </cell>
          <cell r="I198" t="str">
            <v>Серж.</v>
          </cell>
          <cell r="M198" t="str">
            <v>молодший сержант</v>
          </cell>
          <cell r="U198" t="str">
            <v>В строю</v>
          </cell>
          <cell r="AE198" t="str">
            <v>ППД Петропавлівка</v>
          </cell>
        </row>
        <row r="199">
          <cell r="B199" t="str">
            <v>2 піхотна рота</v>
          </cell>
          <cell r="I199" t="str">
            <v>солд.</v>
          </cell>
          <cell r="M199" t="str">
            <v>солдат</v>
          </cell>
          <cell r="U199" t="str">
            <v>В строю</v>
          </cell>
          <cell r="AE199" t="str">
            <v>На виконанні</v>
          </cell>
        </row>
        <row r="200">
          <cell r="B200" t="str">
            <v>2 піхотна рота</v>
          </cell>
          <cell r="I200" t="str">
            <v>солд.</v>
          </cell>
          <cell r="M200" t="str">
            <v>солдат</v>
          </cell>
          <cell r="U200" t="str">
            <v>Лікування</v>
          </cell>
          <cell r="AE200" t="str">
            <v>Мед. рота</v>
          </cell>
        </row>
        <row r="201">
          <cell r="B201" t="str">
            <v>2 піхотна рота</v>
          </cell>
          <cell r="I201" t="str">
            <v>солд.</v>
          </cell>
          <cell r="M201" t="str">
            <v>рядовий</v>
          </cell>
          <cell r="U201" t="str">
            <v>В строю</v>
          </cell>
          <cell r="AE201" t="str">
            <v>ППД Вишневе</v>
          </cell>
        </row>
        <row r="202">
          <cell r="B202" t="str">
            <v>2 піхотна рота</v>
          </cell>
          <cell r="I202" t="str">
            <v>солд.</v>
          </cell>
          <cell r="M202" t="str">
            <v>солдат</v>
          </cell>
          <cell r="U202" t="str">
            <v>В строю</v>
          </cell>
          <cell r="AE202" t="str">
            <v>На виконанні</v>
          </cell>
        </row>
        <row r="203">
          <cell r="B203" t="str">
            <v>2 піхотна рота</v>
          </cell>
          <cell r="I203" t="str">
            <v>солд.</v>
          </cell>
          <cell r="M203" t="str">
            <v>матрос</v>
          </cell>
          <cell r="U203" t="str">
            <v>Зниклі безвісти</v>
          </cell>
        </row>
        <row r="204">
          <cell r="B204" t="str">
            <v>2 піхотна рота</v>
          </cell>
          <cell r="I204" t="str">
            <v>солд.</v>
          </cell>
          <cell r="M204" t="str">
            <v>солдат</v>
          </cell>
          <cell r="U204" t="str">
            <v>В строю</v>
          </cell>
          <cell r="AE204" t="str">
            <v>ППД Вишневе</v>
          </cell>
        </row>
        <row r="205">
          <cell r="B205" t="str">
            <v>2 піхотна рота</v>
          </cell>
          <cell r="I205" t="str">
            <v>солд.</v>
          </cell>
          <cell r="M205" t="str">
            <v>солдат</v>
          </cell>
          <cell r="U205" t="str">
            <v>В строю</v>
          </cell>
          <cell r="AE205" t="str">
            <v>ППД Вишневе</v>
          </cell>
        </row>
        <row r="206">
          <cell r="B206" t="str">
            <v>2 піхотна рота</v>
          </cell>
          <cell r="I206" t="str">
            <v>солд.</v>
          </cell>
        </row>
        <row r="207">
          <cell r="B207" t="str">
            <v>2 піхотна рота</v>
          </cell>
          <cell r="I207" t="str">
            <v>Серж.</v>
          </cell>
        </row>
        <row r="208">
          <cell r="B208" t="str">
            <v>2 піхотна рота</v>
          </cell>
          <cell r="I208" t="str">
            <v>солд.</v>
          </cell>
          <cell r="M208" t="str">
            <v>солдат</v>
          </cell>
          <cell r="U208" t="str">
            <v>В строю</v>
          </cell>
          <cell r="AE208" t="str">
            <v>На виконанні</v>
          </cell>
        </row>
        <row r="209">
          <cell r="B209" t="str">
            <v>2 піхотна рота</v>
          </cell>
          <cell r="I209" t="str">
            <v>солд.</v>
          </cell>
          <cell r="M209" t="str">
            <v>солдат</v>
          </cell>
          <cell r="U209" t="str">
            <v>Лікування</v>
          </cell>
          <cell r="AE209" t="str">
            <v>Шпиталь</v>
          </cell>
        </row>
        <row r="210">
          <cell r="B210" t="str">
            <v>2 піхотна рота</v>
          </cell>
          <cell r="I210" t="str">
            <v>солд.</v>
          </cell>
          <cell r="M210" t="str">
            <v>солдат</v>
          </cell>
          <cell r="U210" t="str">
            <v>В строю</v>
          </cell>
          <cell r="AE210" t="str">
            <v>ППД Вишневе</v>
          </cell>
        </row>
        <row r="211">
          <cell r="B211" t="str">
            <v>2 піхотна рота</v>
          </cell>
          <cell r="I211" t="str">
            <v>солд.</v>
          </cell>
          <cell r="M211" t="str">
            <v>солдат</v>
          </cell>
          <cell r="U211" t="str">
            <v>Лікування</v>
          </cell>
          <cell r="AE211" t="str">
            <v>Шпиталь</v>
          </cell>
        </row>
        <row r="212">
          <cell r="B212" t="str">
            <v>2 піхотна рота</v>
          </cell>
          <cell r="I212" t="str">
            <v>солд.</v>
          </cell>
          <cell r="M212" t="str">
            <v>старший солдат</v>
          </cell>
          <cell r="U212" t="str">
            <v>Лікування</v>
          </cell>
          <cell r="AE212" t="str">
            <v>Шпиталь</v>
          </cell>
        </row>
        <row r="213">
          <cell r="B213" t="str">
            <v>2 піхотна рота</v>
          </cell>
          <cell r="I213" t="str">
            <v>солд.</v>
          </cell>
          <cell r="M213" t="str">
            <v>солдат</v>
          </cell>
          <cell r="U213" t="str">
            <v>Лікування</v>
          </cell>
          <cell r="AE213" t="str">
            <v>Шпиталь</v>
          </cell>
        </row>
        <row r="214">
          <cell r="B214" t="str">
            <v>2 піхотна рота</v>
          </cell>
          <cell r="I214" t="str">
            <v>солд.</v>
          </cell>
          <cell r="M214" t="str">
            <v>солдат</v>
          </cell>
          <cell r="U214" t="str">
            <v>В строю</v>
          </cell>
          <cell r="AE214" t="str">
            <v>ППД Вишневе</v>
          </cell>
        </row>
        <row r="215">
          <cell r="B215" t="str">
            <v>2 піхотна рота</v>
          </cell>
          <cell r="I215" t="str">
            <v>солд.</v>
          </cell>
        </row>
        <row r="216">
          <cell r="B216" t="str">
            <v>2 піхотна рота</v>
          </cell>
          <cell r="I216" t="str">
            <v>Оф.</v>
          </cell>
          <cell r="M216" t="str">
            <v>молодший лейтенант</v>
          </cell>
          <cell r="U216" t="str">
            <v>Відком. за межі ПБ</v>
          </cell>
          <cell r="AE216" t="str">
            <v>Полк</v>
          </cell>
        </row>
        <row r="217">
          <cell r="B217" t="str">
            <v>2 піхотна рота</v>
          </cell>
          <cell r="I217" t="str">
            <v>Серж.</v>
          </cell>
          <cell r="M217" t="str">
            <v>молодший сержант</v>
          </cell>
          <cell r="U217" t="str">
            <v>Відком. за межі ПБ</v>
          </cell>
        </row>
        <row r="218">
          <cell r="B218" t="str">
            <v>2 піхотна рота</v>
          </cell>
          <cell r="I218" t="str">
            <v>солд.</v>
          </cell>
          <cell r="M218" t="str">
            <v>солдат</v>
          </cell>
          <cell r="U218" t="str">
            <v>В строю</v>
          </cell>
          <cell r="AE218" t="str">
            <v>ППД Вишневе</v>
          </cell>
        </row>
        <row r="219">
          <cell r="B219" t="str">
            <v>2 піхотна рота</v>
          </cell>
          <cell r="I219" t="str">
            <v>Серж.</v>
          </cell>
          <cell r="M219" t="str">
            <v>старшина 2 статті</v>
          </cell>
          <cell r="U219" t="str">
            <v>В строю</v>
          </cell>
          <cell r="AE219" t="str">
            <v>КСП Павлоград</v>
          </cell>
        </row>
        <row r="220">
          <cell r="B220" t="str">
            <v>2 піхотна рота</v>
          </cell>
          <cell r="I220" t="str">
            <v>солд.</v>
          </cell>
          <cell r="M220" t="str">
            <v>солдат</v>
          </cell>
          <cell r="U220" t="str">
            <v>Лікування</v>
          </cell>
          <cell r="AE220" t="str">
            <v>Шпиталь</v>
          </cell>
        </row>
        <row r="221">
          <cell r="B221" t="str">
            <v>2 піхотна рота</v>
          </cell>
          <cell r="I221" t="str">
            <v>солд.</v>
          </cell>
          <cell r="M221" t="str">
            <v>старший солдат</v>
          </cell>
          <cell r="U221" t="str">
            <v>Зниклі безвісти</v>
          </cell>
        </row>
        <row r="222">
          <cell r="B222" t="str">
            <v>2 піхотна рота</v>
          </cell>
          <cell r="I222" t="str">
            <v>солд.</v>
          </cell>
          <cell r="M222" t="str">
            <v>солдат</v>
          </cell>
          <cell r="U222" t="str">
            <v>В строю</v>
          </cell>
          <cell r="AE222" t="str">
            <v>ППД Слов'янка (13-й)</v>
          </cell>
        </row>
        <row r="223">
          <cell r="B223" t="str">
            <v>2 піхотна рота</v>
          </cell>
          <cell r="I223" t="str">
            <v>солд.</v>
          </cell>
          <cell r="M223" t="str">
            <v>солдат</v>
          </cell>
          <cell r="U223" t="str">
            <v>В строю</v>
          </cell>
          <cell r="AE223" t="str">
            <v>ППД Вишневе</v>
          </cell>
        </row>
        <row r="224">
          <cell r="B224" t="str">
            <v>2 піхотна рота</v>
          </cell>
          <cell r="I224" t="str">
            <v>солд.</v>
          </cell>
          <cell r="M224" t="str">
            <v>солдат</v>
          </cell>
          <cell r="U224" t="str">
            <v>В строю</v>
          </cell>
          <cell r="AE224" t="str">
            <v>ППД Вишневе</v>
          </cell>
        </row>
        <row r="225">
          <cell r="B225" t="str">
            <v>2 піхотна рота</v>
          </cell>
          <cell r="I225" t="str">
            <v>солд.</v>
          </cell>
          <cell r="M225" t="str">
            <v>рядовий</v>
          </cell>
          <cell r="U225" t="str">
            <v>В строю</v>
          </cell>
          <cell r="AE225" t="str">
            <v>На виконанні</v>
          </cell>
        </row>
        <row r="226">
          <cell r="B226" t="str">
            <v>2 піхотна рота</v>
          </cell>
          <cell r="I226" t="str">
            <v>солд.</v>
          </cell>
          <cell r="M226" t="str">
            <v>солдат</v>
          </cell>
          <cell r="U226" t="str">
            <v>Відпустка</v>
          </cell>
        </row>
        <row r="227">
          <cell r="B227" t="str">
            <v>2 піхотна рота</v>
          </cell>
          <cell r="I227" t="str">
            <v>солд.</v>
          </cell>
          <cell r="M227" t="str">
            <v>солдат</v>
          </cell>
          <cell r="U227" t="str">
            <v>Відком. за межі ПБ</v>
          </cell>
        </row>
        <row r="228">
          <cell r="B228" t="str">
            <v>2 піхотна рота</v>
          </cell>
          <cell r="I228" t="str">
            <v>Серж.</v>
          </cell>
        </row>
        <row r="229">
          <cell r="B229" t="str">
            <v>2 піхотна рота</v>
          </cell>
          <cell r="I229" t="str">
            <v>солд.</v>
          </cell>
          <cell r="M229" t="str">
            <v>солдат</v>
          </cell>
          <cell r="U229" t="str">
            <v>Відком. за межі ПБ</v>
          </cell>
        </row>
        <row r="230">
          <cell r="B230" t="str">
            <v>2 піхотна рота</v>
          </cell>
          <cell r="I230" t="str">
            <v>солд.</v>
          </cell>
          <cell r="M230" t="str">
            <v>солдат</v>
          </cell>
          <cell r="U230" t="str">
            <v>Зниклі безвісти</v>
          </cell>
        </row>
        <row r="231">
          <cell r="B231" t="str">
            <v>2 піхотна рота</v>
          </cell>
          <cell r="I231" t="str">
            <v>солд.</v>
          </cell>
        </row>
        <row r="232">
          <cell r="B232" t="str">
            <v>2 піхотна рота</v>
          </cell>
          <cell r="I232" t="str">
            <v>солд.</v>
          </cell>
        </row>
        <row r="233">
          <cell r="B233" t="str">
            <v>2 піхотна рота</v>
          </cell>
          <cell r="I233" t="str">
            <v>солд.</v>
          </cell>
          <cell r="M233" t="str">
            <v>старший солдат</v>
          </cell>
          <cell r="U233" t="str">
            <v>Лікування</v>
          </cell>
          <cell r="AE233" t="str">
            <v>Шпиталь</v>
          </cell>
        </row>
        <row r="234">
          <cell r="B234" t="str">
            <v>2 піхотна рота</v>
          </cell>
          <cell r="I234" t="str">
            <v>солд.</v>
          </cell>
          <cell r="M234" t="str">
            <v>солдат</v>
          </cell>
          <cell r="U234" t="str">
            <v>СЗЧ</v>
          </cell>
        </row>
        <row r="235">
          <cell r="B235" t="str">
            <v>2 піхотна рота</v>
          </cell>
          <cell r="I235" t="str">
            <v>солд.</v>
          </cell>
        </row>
        <row r="236">
          <cell r="B236" t="str">
            <v>2 піхотна рота</v>
          </cell>
          <cell r="I236" t="str">
            <v>солд.</v>
          </cell>
          <cell r="M236" t="str">
            <v>солдат</v>
          </cell>
          <cell r="U236" t="str">
            <v>Лікування</v>
          </cell>
          <cell r="AE236" t="str">
            <v>Відпустка лікув.</v>
          </cell>
        </row>
        <row r="237">
          <cell r="B237" t="str">
            <v>2 піхотна рота</v>
          </cell>
          <cell r="I237" t="str">
            <v>Серж.</v>
          </cell>
          <cell r="M237" t="str">
            <v>солдат</v>
          </cell>
          <cell r="U237" t="str">
            <v>В строю</v>
          </cell>
          <cell r="AE237" t="str">
            <v>ППД Вишневе</v>
          </cell>
        </row>
        <row r="238">
          <cell r="B238" t="str">
            <v>2 піхотна рота</v>
          </cell>
          <cell r="I238" t="str">
            <v>солд.</v>
          </cell>
          <cell r="M238" t="str">
            <v>солдат</v>
          </cell>
          <cell r="U238" t="str">
            <v>СЗЧ</v>
          </cell>
        </row>
        <row r="239">
          <cell r="B239" t="str">
            <v>2 піхотна рота</v>
          </cell>
          <cell r="I239" t="str">
            <v>солд.</v>
          </cell>
          <cell r="M239" t="str">
            <v>солдат</v>
          </cell>
          <cell r="U239" t="str">
            <v>В строю</v>
          </cell>
          <cell r="AE239" t="str">
            <v>На виконанні</v>
          </cell>
        </row>
        <row r="240">
          <cell r="B240" t="str">
            <v>2 піхотна рота</v>
          </cell>
          <cell r="I240" t="str">
            <v>солд.</v>
          </cell>
        </row>
        <row r="241">
          <cell r="B241" t="str">
            <v>2 піхотна рота</v>
          </cell>
          <cell r="I241" t="str">
            <v>солд.</v>
          </cell>
          <cell r="M241" t="str">
            <v>солдат</v>
          </cell>
          <cell r="U241" t="str">
            <v>В строю</v>
          </cell>
          <cell r="AE241" t="str">
            <v>На виконанні</v>
          </cell>
        </row>
        <row r="242">
          <cell r="B242" t="str">
            <v>2 піхотна рота</v>
          </cell>
          <cell r="I242" t="str">
            <v>солд.</v>
          </cell>
          <cell r="M242" t="str">
            <v>солдат</v>
          </cell>
          <cell r="U242" t="str">
            <v>В строю</v>
          </cell>
          <cell r="AE242" t="str">
            <v>ППД Слов'янка (13-й)</v>
          </cell>
        </row>
        <row r="243">
          <cell r="B243" t="str">
            <v>2 піхотна рота</v>
          </cell>
          <cell r="I243" t="str">
            <v>солд.</v>
          </cell>
          <cell r="M243" t="str">
            <v>солдат</v>
          </cell>
          <cell r="U243" t="str">
            <v>Відком. за межі ПБ</v>
          </cell>
        </row>
        <row r="244">
          <cell r="B244" t="str">
            <v>2 піхотна рота</v>
          </cell>
          <cell r="I244" t="str">
            <v>солд.</v>
          </cell>
          <cell r="M244" t="str">
            <v>солдат</v>
          </cell>
          <cell r="U244" t="str">
            <v>В строю</v>
          </cell>
          <cell r="AE244" t="str">
            <v>На виконанні</v>
          </cell>
        </row>
        <row r="245">
          <cell r="B245" t="str">
            <v>2 піхотна рота</v>
          </cell>
          <cell r="I245" t="str">
            <v>солд.</v>
          </cell>
          <cell r="M245" t="str">
            <v>солдат</v>
          </cell>
          <cell r="U245" t="str">
            <v>В строю</v>
          </cell>
          <cell r="AE245" t="str">
            <v>ППД Вишневе</v>
          </cell>
        </row>
        <row r="246">
          <cell r="B246" t="str">
            <v>2 піхотна рота</v>
          </cell>
          <cell r="I246" t="str">
            <v>Оф.</v>
          </cell>
          <cell r="M246" t="str">
            <v>молодший лейтенант</v>
          </cell>
          <cell r="U246" t="str">
            <v>Лікування</v>
          </cell>
          <cell r="AE246" t="str">
            <v>Шпиталь</v>
          </cell>
        </row>
        <row r="247">
          <cell r="B247" t="str">
            <v>2 піхотна рота</v>
          </cell>
          <cell r="I247" t="str">
            <v>Серж.</v>
          </cell>
          <cell r="M247" t="str">
            <v>молодший сержант</v>
          </cell>
          <cell r="U247" t="str">
            <v>В строю</v>
          </cell>
          <cell r="AE247" t="str">
            <v>КСП Павлоград</v>
          </cell>
        </row>
        <row r="248">
          <cell r="B248" t="str">
            <v>2 піхотна рота</v>
          </cell>
          <cell r="I248" t="str">
            <v>Серж.</v>
          </cell>
        </row>
        <row r="249">
          <cell r="B249" t="str">
            <v>2 піхотна рота</v>
          </cell>
          <cell r="I249" t="str">
            <v>Серж.</v>
          </cell>
          <cell r="M249" t="str">
            <v>молодший сержант</v>
          </cell>
          <cell r="U249" t="str">
            <v>В строю</v>
          </cell>
          <cell r="AE249" t="str">
            <v>ППД Шевченко (Петропавлівка (літуни))</v>
          </cell>
        </row>
        <row r="250">
          <cell r="B250" t="str">
            <v>2 піхотна рота</v>
          </cell>
          <cell r="I250" t="str">
            <v>солд.</v>
          </cell>
          <cell r="M250" t="str">
            <v>солдат</v>
          </cell>
          <cell r="U250" t="str">
            <v>Зниклі безвісти</v>
          </cell>
        </row>
        <row r="251">
          <cell r="B251" t="str">
            <v>2 піхотна рота</v>
          </cell>
          <cell r="I251" t="str">
            <v>солд.</v>
          </cell>
          <cell r="M251" t="str">
            <v>солдат</v>
          </cell>
          <cell r="U251" t="str">
            <v>Лікування</v>
          </cell>
          <cell r="AE251" t="str">
            <v>Відпустка лікув.</v>
          </cell>
        </row>
        <row r="252">
          <cell r="B252" t="str">
            <v>2 піхотна рота</v>
          </cell>
          <cell r="I252" t="str">
            <v>солд.</v>
          </cell>
          <cell r="M252" t="str">
            <v>солдат</v>
          </cell>
          <cell r="U252" t="str">
            <v>В строю</v>
          </cell>
          <cell r="AE252" t="str">
            <v>На виконанні</v>
          </cell>
        </row>
        <row r="253">
          <cell r="B253" t="str">
            <v>2 піхотна рота</v>
          </cell>
          <cell r="I253" t="str">
            <v>солд.</v>
          </cell>
          <cell r="M253" t="str">
            <v>солдат</v>
          </cell>
          <cell r="U253" t="str">
            <v>Зниклі безвісти</v>
          </cell>
        </row>
        <row r="254">
          <cell r="B254" t="str">
            <v>2 піхотна рота</v>
          </cell>
          <cell r="I254" t="str">
            <v>солд.</v>
          </cell>
          <cell r="M254" t="str">
            <v>солдат</v>
          </cell>
          <cell r="U254" t="str">
            <v>СЗЧ</v>
          </cell>
        </row>
        <row r="255">
          <cell r="B255" t="str">
            <v>2 піхотна рота</v>
          </cell>
          <cell r="I255" t="str">
            <v>солд.</v>
          </cell>
          <cell r="M255" t="str">
            <v>солдат</v>
          </cell>
          <cell r="U255" t="str">
            <v>В строю</v>
          </cell>
          <cell r="AE255" t="str">
            <v>ППД Слов'янка (13-й)</v>
          </cell>
        </row>
        <row r="256">
          <cell r="B256" t="str">
            <v>2 піхотна рота</v>
          </cell>
          <cell r="I256" t="str">
            <v>солд.</v>
          </cell>
          <cell r="M256" t="str">
            <v>солдат</v>
          </cell>
          <cell r="U256" t="str">
            <v>В строю</v>
          </cell>
          <cell r="AE256" t="str">
            <v>ППД Вишневе</v>
          </cell>
        </row>
        <row r="257">
          <cell r="B257" t="str">
            <v>2 піхотна рота</v>
          </cell>
          <cell r="I257" t="str">
            <v>солд.</v>
          </cell>
        </row>
        <row r="258">
          <cell r="B258" t="str">
            <v>2 піхотна рота</v>
          </cell>
          <cell r="I258" t="str">
            <v>солд.</v>
          </cell>
          <cell r="M258" t="str">
            <v>солдат</v>
          </cell>
          <cell r="U258" t="str">
            <v>В строю</v>
          </cell>
          <cell r="AE258" t="str">
            <v>ППД Вишневе</v>
          </cell>
        </row>
        <row r="259">
          <cell r="B259" t="str">
            <v>2 піхотна рота</v>
          </cell>
          <cell r="I259" t="str">
            <v>солд.</v>
          </cell>
          <cell r="M259" t="str">
            <v>солдат</v>
          </cell>
          <cell r="U259" t="str">
            <v>В строю</v>
          </cell>
          <cell r="AE259" t="str">
            <v>ППД Вишневе</v>
          </cell>
        </row>
        <row r="260">
          <cell r="B260" t="str">
            <v>3 піхотна рота</v>
          </cell>
          <cell r="I260" t="str">
            <v>Оф.</v>
          </cell>
          <cell r="M260" t="str">
            <v>капітан</v>
          </cell>
          <cell r="U260" t="str">
            <v>Відком. за межі ПБ</v>
          </cell>
        </row>
        <row r="261">
          <cell r="B261" t="str">
            <v>3 піхотна рота</v>
          </cell>
          <cell r="I261" t="str">
            <v>Оф.</v>
          </cell>
          <cell r="M261" t="str">
            <v>молодший лейтенант</v>
          </cell>
          <cell r="U261" t="str">
            <v>Відком. за межі ПБ</v>
          </cell>
        </row>
        <row r="262">
          <cell r="B262" t="str">
            <v>3 піхотна рота</v>
          </cell>
          <cell r="I262" t="str">
            <v>Оф.</v>
          </cell>
        </row>
        <row r="263">
          <cell r="B263" t="str">
            <v>3 піхотна рота</v>
          </cell>
          <cell r="I263" t="str">
            <v>Серж.</v>
          </cell>
        </row>
        <row r="264">
          <cell r="B264" t="str">
            <v>3 піхотна рота</v>
          </cell>
          <cell r="I264" t="str">
            <v>Серж.</v>
          </cell>
          <cell r="M264" t="str">
            <v>старший сержант</v>
          </cell>
          <cell r="U264" t="str">
            <v>Відком. за межі ПБ</v>
          </cell>
        </row>
        <row r="265">
          <cell r="B265" t="str">
            <v>3 піхотна рота</v>
          </cell>
          <cell r="I265" t="str">
            <v>Серж.</v>
          </cell>
          <cell r="M265" t="str">
            <v>старший сержант</v>
          </cell>
          <cell r="U265" t="str">
            <v>В строю</v>
          </cell>
          <cell r="AE265" t="str">
            <v>ППД Слов'янка (13-й)</v>
          </cell>
        </row>
        <row r="266">
          <cell r="B266" t="str">
            <v>3 піхотна рота</v>
          </cell>
          <cell r="I266" t="str">
            <v>Серж.</v>
          </cell>
        </row>
        <row r="267">
          <cell r="B267" t="str">
            <v>3 піхотна рота</v>
          </cell>
          <cell r="I267" t="str">
            <v>солд.</v>
          </cell>
          <cell r="M267" t="str">
            <v>солдат</v>
          </cell>
          <cell r="U267" t="str">
            <v>В строю</v>
          </cell>
          <cell r="AE267" t="str">
            <v>ППД Вишневе</v>
          </cell>
        </row>
        <row r="268">
          <cell r="B268" t="str">
            <v>3 піхотна рота</v>
          </cell>
          <cell r="I268" t="str">
            <v>солд.</v>
          </cell>
        </row>
        <row r="269">
          <cell r="B269" t="str">
            <v>3 піхотна рота</v>
          </cell>
          <cell r="I269" t="str">
            <v>Оф.</v>
          </cell>
          <cell r="M269" t="str">
            <v>молодший сержант</v>
          </cell>
          <cell r="U269" t="str">
            <v>Відком. за межі ПБ</v>
          </cell>
        </row>
        <row r="270">
          <cell r="B270" t="str">
            <v>3 піхотна рота</v>
          </cell>
          <cell r="I270" t="str">
            <v>Серж.</v>
          </cell>
          <cell r="M270" t="str">
            <v>молодший сержант</v>
          </cell>
          <cell r="U270" t="str">
            <v>В строю</v>
          </cell>
          <cell r="AE270" t="str">
            <v>КСП Павлоград</v>
          </cell>
        </row>
        <row r="271">
          <cell r="B271" t="str">
            <v>3 піхотна рота</v>
          </cell>
          <cell r="I271" t="str">
            <v>солд.</v>
          </cell>
          <cell r="M271" t="str">
            <v>солдат</v>
          </cell>
          <cell r="U271" t="str">
            <v>В строю</v>
          </cell>
          <cell r="AE271" t="str">
            <v>На виконанні</v>
          </cell>
        </row>
        <row r="272">
          <cell r="B272" t="str">
            <v>3 піхотна рота</v>
          </cell>
          <cell r="I272" t="str">
            <v>Серж.</v>
          </cell>
          <cell r="M272" t="str">
            <v>молодший сержант</v>
          </cell>
          <cell r="U272" t="str">
            <v>Відком. за межі ПБ</v>
          </cell>
          <cell r="AE272" t="str">
            <v>Шпиталь</v>
          </cell>
        </row>
        <row r="273">
          <cell r="B273" t="str">
            <v>3 піхотна рота</v>
          </cell>
          <cell r="I273" t="str">
            <v>солд.</v>
          </cell>
          <cell r="M273" t="str">
            <v>солдат</v>
          </cell>
          <cell r="U273" t="str">
            <v>В строю</v>
          </cell>
          <cell r="AE273" t="str">
            <v>ППД Польова</v>
          </cell>
        </row>
        <row r="274">
          <cell r="B274" t="str">
            <v>3 піхотна рота</v>
          </cell>
          <cell r="I274" t="str">
            <v>солд.</v>
          </cell>
        </row>
        <row r="275">
          <cell r="B275" t="str">
            <v>3 піхотна рота</v>
          </cell>
          <cell r="I275" t="str">
            <v>солд.</v>
          </cell>
        </row>
        <row r="276">
          <cell r="B276" t="str">
            <v>3 піхотна рота</v>
          </cell>
          <cell r="I276" t="str">
            <v>солд.</v>
          </cell>
          <cell r="M276" t="str">
            <v>солдат</v>
          </cell>
          <cell r="U276" t="str">
            <v>Лікування</v>
          </cell>
          <cell r="AE276" t="str">
            <v>Шпиталь</v>
          </cell>
        </row>
        <row r="277">
          <cell r="B277" t="str">
            <v>3 піхотна рота</v>
          </cell>
          <cell r="I277" t="str">
            <v>солд.</v>
          </cell>
          <cell r="M277" t="str">
            <v>солдат</v>
          </cell>
          <cell r="U277" t="str">
            <v>Відпустка</v>
          </cell>
        </row>
        <row r="278">
          <cell r="B278" t="str">
            <v>3 піхотна рота</v>
          </cell>
          <cell r="I278" t="str">
            <v>солд.</v>
          </cell>
          <cell r="M278" t="str">
            <v>солдат</v>
          </cell>
          <cell r="U278" t="str">
            <v>В строю</v>
          </cell>
          <cell r="AE278" t="str">
            <v>ППД Вишневе</v>
          </cell>
        </row>
        <row r="279">
          <cell r="B279" t="str">
            <v>3 піхотна рота</v>
          </cell>
          <cell r="I279" t="str">
            <v>солд.</v>
          </cell>
          <cell r="M279" t="str">
            <v>солдат</v>
          </cell>
          <cell r="U279" t="str">
            <v>Лікування</v>
          </cell>
          <cell r="AE279" t="str">
            <v>Відпустка лікув.</v>
          </cell>
        </row>
        <row r="280">
          <cell r="B280" t="str">
            <v>3 піхотна рота</v>
          </cell>
          <cell r="I280" t="str">
            <v>солд.</v>
          </cell>
          <cell r="M280" t="str">
            <v>солдат</v>
          </cell>
          <cell r="U280" t="str">
            <v>В строю</v>
          </cell>
          <cell r="AE280" t="str">
            <v>ППД Слов'янка (13-й)</v>
          </cell>
        </row>
        <row r="281">
          <cell r="B281" t="str">
            <v>3 піхотна рота</v>
          </cell>
          <cell r="I281" t="str">
            <v>Серж.</v>
          </cell>
          <cell r="M281" t="str">
            <v>старший сержант</v>
          </cell>
          <cell r="U281" t="str">
            <v>В строю</v>
          </cell>
          <cell r="AE281" t="str">
            <v>ППД Соборне (літуни)</v>
          </cell>
        </row>
        <row r="282">
          <cell r="B282" t="str">
            <v>3 піхотна рота</v>
          </cell>
          <cell r="I282" t="str">
            <v>солд.</v>
          </cell>
          <cell r="M282" t="str">
            <v>молодший сержант</v>
          </cell>
          <cell r="U282" t="str">
            <v>В строю</v>
          </cell>
          <cell r="AE282" t="str">
            <v>ППД Вишневе</v>
          </cell>
        </row>
        <row r="283">
          <cell r="B283" t="str">
            <v>3 піхотна рота</v>
          </cell>
          <cell r="I283" t="str">
            <v>солд.</v>
          </cell>
          <cell r="M283" t="str">
            <v>солдат</v>
          </cell>
          <cell r="U283" t="str">
            <v>Лікування</v>
          </cell>
          <cell r="AE283" t="str">
            <v>Відпустка лікув.</v>
          </cell>
        </row>
        <row r="284">
          <cell r="B284" t="str">
            <v>3 піхотна рота</v>
          </cell>
          <cell r="I284" t="str">
            <v>солд.</v>
          </cell>
          <cell r="M284" t="str">
            <v>солдат</v>
          </cell>
          <cell r="U284" t="str">
            <v>В строю</v>
          </cell>
          <cell r="AE284" t="str">
            <v>ППД Вишневе</v>
          </cell>
        </row>
        <row r="285">
          <cell r="B285" t="str">
            <v>3 піхотна рота</v>
          </cell>
          <cell r="I285" t="str">
            <v>солд.</v>
          </cell>
          <cell r="M285" t="str">
            <v>матрос</v>
          </cell>
          <cell r="U285" t="str">
            <v>В строю</v>
          </cell>
          <cell r="AE285" t="str">
            <v>ППД Соборне (літуни)</v>
          </cell>
        </row>
        <row r="286">
          <cell r="B286" t="str">
            <v>3 піхотна рота</v>
          </cell>
          <cell r="I286" t="str">
            <v>солд.</v>
          </cell>
          <cell r="M286" t="str">
            <v>солдат</v>
          </cell>
          <cell r="U286" t="str">
            <v>Лікування</v>
          </cell>
          <cell r="AE286" t="str">
            <v>Шпиталь</v>
          </cell>
        </row>
        <row r="287">
          <cell r="B287" t="str">
            <v>3 піхотна рота</v>
          </cell>
          <cell r="I287" t="str">
            <v>солд.</v>
          </cell>
          <cell r="M287" t="str">
            <v>солдат</v>
          </cell>
          <cell r="U287" t="str">
            <v>В строю</v>
          </cell>
          <cell r="AE287" t="str">
            <v>ППД Вишневе</v>
          </cell>
        </row>
        <row r="288">
          <cell r="B288" t="str">
            <v>3 піхотна рота</v>
          </cell>
          <cell r="I288" t="str">
            <v>солд.</v>
          </cell>
          <cell r="M288" t="str">
            <v>солдат</v>
          </cell>
          <cell r="U288" t="str">
            <v>В строю</v>
          </cell>
          <cell r="AE288" t="str">
            <v>ППД Вишневе</v>
          </cell>
        </row>
        <row r="289">
          <cell r="B289" t="str">
            <v>3 піхотна рота</v>
          </cell>
          <cell r="I289" t="str">
            <v>солд.</v>
          </cell>
          <cell r="M289" t="str">
            <v>солдат</v>
          </cell>
          <cell r="U289" t="str">
            <v>В строю</v>
          </cell>
          <cell r="AE289" t="str">
            <v>ППД Вишневе</v>
          </cell>
        </row>
        <row r="290">
          <cell r="B290" t="str">
            <v>3 піхотна рота</v>
          </cell>
          <cell r="I290" t="str">
            <v>Серж.</v>
          </cell>
          <cell r="M290" t="str">
            <v>молодший сержант</v>
          </cell>
          <cell r="U290" t="str">
            <v>В строю</v>
          </cell>
          <cell r="AE290" t="str">
            <v>КСП Павлоград</v>
          </cell>
        </row>
        <row r="291">
          <cell r="B291" t="str">
            <v>3 піхотна рота</v>
          </cell>
          <cell r="I291" t="str">
            <v>солд.</v>
          </cell>
        </row>
        <row r="292">
          <cell r="B292" t="str">
            <v>3 піхотна рота</v>
          </cell>
          <cell r="I292" t="str">
            <v>солд.</v>
          </cell>
          <cell r="M292" t="str">
            <v>молодший сержант</v>
          </cell>
          <cell r="U292" t="str">
            <v>В строю</v>
          </cell>
          <cell r="AE292" t="str">
            <v>На виконанні</v>
          </cell>
        </row>
        <row r="293">
          <cell r="B293" t="str">
            <v>3 піхотна рота</v>
          </cell>
          <cell r="I293" t="str">
            <v>солд.</v>
          </cell>
          <cell r="M293" t="str">
            <v>солдат</v>
          </cell>
          <cell r="U293" t="str">
            <v>Відком. за межі ПБ</v>
          </cell>
        </row>
        <row r="294">
          <cell r="B294" t="str">
            <v>3 піхотна рота</v>
          </cell>
          <cell r="I294" t="str">
            <v>солд.</v>
          </cell>
          <cell r="M294" t="str">
            <v>солдат</v>
          </cell>
          <cell r="U294" t="str">
            <v>Лікування</v>
          </cell>
          <cell r="AE294" t="str">
            <v>Відпустка лікув.</v>
          </cell>
        </row>
        <row r="295">
          <cell r="B295" t="str">
            <v>3 піхотна рота</v>
          </cell>
          <cell r="I295" t="str">
            <v>солд.</v>
          </cell>
          <cell r="M295" t="str">
            <v>солдат</v>
          </cell>
          <cell r="U295" t="str">
            <v>В строю</v>
          </cell>
          <cell r="AE295" t="str">
            <v>ППД Вишневе</v>
          </cell>
        </row>
        <row r="296">
          <cell r="B296" t="str">
            <v>3 піхотна рота</v>
          </cell>
          <cell r="I296" t="str">
            <v>солд.</v>
          </cell>
          <cell r="M296" t="str">
            <v>солдат</v>
          </cell>
          <cell r="U296" t="str">
            <v>В строю</v>
          </cell>
          <cell r="AE296" t="str">
            <v>На виконанні</v>
          </cell>
        </row>
        <row r="297">
          <cell r="B297" t="str">
            <v>3 піхотна рота</v>
          </cell>
          <cell r="I297" t="str">
            <v>солд.</v>
          </cell>
          <cell r="M297" t="str">
            <v>солдат</v>
          </cell>
          <cell r="U297" t="str">
            <v>В строю</v>
          </cell>
          <cell r="AE297" t="str">
            <v>ППД Вишневе</v>
          </cell>
        </row>
        <row r="298">
          <cell r="B298" t="str">
            <v>3 піхотна рота</v>
          </cell>
          <cell r="I298" t="str">
            <v>солд.</v>
          </cell>
          <cell r="M298" t="str">
            <v>солдат</v>
          </cell>
          <cell r="U298" t="str">
            <v>В строю</v>
          </cell>
          <cell r="AE298" t="str">
            <v>На виконанні</v>
          </cell>
        </row>
        <row r="299">
          <cell r="B299" t="str">
            <v>3 піхотна рота</v>
          </cell>
          <cell r="I299" t="str">
            <v>Оф.</v>
          </cell>
          <cell r="M299" t="str">
            <v>молодший лейтенант</v>
          </cell>
          <cell r="U299" t="str">
            <v>Відком. за межі ПБ</v>
          </cell>
        </row>
        <row r="300">
          <cell r="B300" t="str">
            <v>3 піхотна рота</v>
          </cell>
          <cell r="I300" t="str">
            <v>Серж.</v>
          </cell>
          <cell r="M300" t="str">
            <v>молодший сержант</v>
          </cell>
          <cell r="U300" t="str">
            <v>В строю</v>
          </cell>
          <cell r="AE300" t="str">
            <v>КСП Павлоград</v>
          </cell>
        </row>
        <row r="301">
          <cell r="B301" t="str">
            <v>3 піхотна рота</v>
          </cell>
          <cell r="I301" t="str">
            <v>солд.</v>
          </cell>
        </row>
        <row r="302">
          <cell r="B302" t="str">
            <v>3 піхотна рота</v>
          </cell>
          <cell r="I302" t="str">
            <v>Серж.</v>
          </cell>
          <cell r="M302" t="str">
            <v>молодший сержант</v>
          </cell>
          <cell r="U302" t="str">
            <v>В строю</v>
          </cell>
          <cell r="AE302" t="str">
            <v>КСП Павлоград</v>
          </cell>
        </row>
        <row r="303">
          <cell r="B303" t="str">
            <v>3 піхотна рота</v>
          </cell>
          <cell r="I303" t="str">
            <v>солд.</v>
          </cell>
          <cell r="M303" t="str">
            <v>солдат</v>
          </cell>
          <cell r="U303" t="str">
            <v>В строю</v>
          </cell>
          <cell r="AE303" t="str">
            <v>На виконанні</v>
          </cell>
        </row>
        <row r="304">
          <cell r="B304" t="str">
            <v>3 піхотна рота</v>
          </cell>
          <cell r="I304" t="str">
            <v>солд.</v>
          </cell>
        </row>
        <row r="305">
          <cell r="B305" t="str">
            <v>3 піхотна рота</v>
          </cell>
          <cell r="I305" t="str">
            <v>солд.</v>
          </cell>
          <cell r="M305" t="str">
            <v>солдат</v>
          </cell>
          <cell r="U305" t="str">
            <v>В строю</v>
          </cell>
          <cell r="AE305" t="str">
            <v>ППД Вишневе</v>
          </cell>
        </row>
        <row r="306">
          <cell r="B306" t="str">
            <v>3 піхотна рота</v>
          </cell>
          <cell r="I306" t="str">
            <v>солд.</v>
          </cell>
          <cell r="M306" t="str">
            <v>солдат</v>
          </cell>
          <cell r="U306" t="str">
            <v>СЗЧ</v>
          </cell>
        </row>
        <row r="307">
          <cell r="B307" t="str">
            <v>3 піхотна рота</v>
          </cell>
          <cell r="I307" t="str">
            <v>солд.</v>
          </cell>
          <cell r="M307" t="str">
            <v>солдат</v>
          </cell>
          <cell r="U307" t="str">
            <v>Лікування</v>
          </cell>
          <cell r="AE307" t="str">
            <v>Мед. рота</v>
          </cell>
        </row>
        <row r="308">
          <cell r="B308" t="str">
            <v>3 піхотна рота</v>
          </cell>
          <cell r="I308" t="str">
            <v>солд.</v>
          </cell>
          <cell r="M308" t="str">
            <v>сержант</v>
          </cell>
          <cell r="U308" t="str">
            <v>Зниклі безвісти</v>
          </cell>
        </row>
        <row r="309">
          <cell r="B309" t="str">
            <v>3 піхотна рота</v>
          </cell>
          <cell r="I309" t="str">
            <v>солд.</v>
          </cell>
          <cell r="M309" t="str">
            <v>рядовий</v>
          </cell>
          <cell r="U309" t="str">
            <v>В строю</v>
          </cell>
          <cell r="AE309" t="str">
            <v>ППД Вишневе</v>
          </cell>
        </row>
        <row r="310">
          <cell r="B310" t="str">
            <v>3 піхотна рота</v>
          </cell>
          <cell r="I310" t="str">
            <v>солд.</v>
          </cell>
        </row>
        <row r="311">
          <cell r="B311" t="str">
            <v>3 піхотна рота</v>
          </cell>
          <cell r="I311" t="str">
            <v>Серж.</v>
          </cell>
          <cell r="M311" t="str">
            <v>молодший сержант</v>
          </cell>
          <cell r="U311" t="str">
            <v>В строю</v>
          </cell>
          <cell r="AE311" t="str">
            <v>ППД Вишневе</v>
          </cell>
        </row>
        <row r="312">
          <cell r="B312" t="str">
            <v>3 піхотна рота</v>
          </cell>
          <cell r="I312" t="str">
            <v>солд.</v>
          </cell>
          <cell r="M312" t="str">
            <v>солдат</v>
          </cell>
          <cell r="U312" t="str">
            <v>В строю</v>
          </cell>
          <cell r="AE312" t="str">
            <v>ППД Вишневе</v>
          </cell>
        </row>
        <row r="313">
          <cell r="B313" t="str">
            <v>3 піхотна рота</v>
          </cell>
          <cell r="I313" t="str">
            <v>солд.</v>
          </cell>
          <cell r="M313" t="str">
            <v>солдат</v>
          </cell>
          <cell r="U313" t="str">
            <v>В строю</v>
          </cell>
          <cell r="AE313" t="str">
            <v>ППД Слов'янка (13-й)</v>
          </cell>
        </row>
        <row r="314">
          <cell r="B314" t="str">
            <v>3 піхотна рота</v>
          </cell>
          <cell r="I314" t="str">
            <v>солд.</v>
          </cell>
        </row>
        <row r="315">
          <cell r="B315" t="str">
            <v>3 піхотна рота</v>
          </cell>
          <cell r="I315" t="str">
            <v>солд.</v>
          </cell>
          <cell r="M315" t="str">
            <v>солдат</v>
          </cell>
          <cell r="U315" t="str">
            <v>Лікування</v>
          </cell>
          <cell r="AE315" t="str">
            <v>Шпиталь</v>
          </cell>
        </row>
        <row r="316">
          <cell r="B316" t="str">
            <v>3 піхотна рота</v>
          </cell>
          <cell r="I316" t="str">
            <v>солд.</v>
          </cell>
          <cell r="M316" t="str">
            <v>солдат</v>
          </cell>
          <cell r="U316" t="str">
            <v>В строю</v>
          </cell>
          <cell r="AE316" t="str">
            <v>ППД Вишневе</v>
          </cell>
        </row>
        <row r="317">
          <cell r="B317" t="str">
            <v>3 піхотна рота</v>
          </cell>
          <cell r="I317" t="str">
            <v>солд.</v>
          </cell>
          <cell r="M317" t="str">
            <v>солдат</v>
          </cell>
          <cell r="U317" t="str">
            <v>В строю</v>
          </cell>
          <cell r="AE317" t="str">
            <v>ППД Вишневе</v>
          </cell>
        </row>
        <row r="318">
          <cell r="B318" t="str">
            <v>3 піхотна рота</v>
          </cell>
          <cell r="I318" t="str">
            <v>солд.</v>
          </cell>
          <cell r="M318" t="str">
            <v>солдат</v>
          </cell>
          <cell r="U318" t="str">
            <v>Відком. за межі ПБ</v>
          </cell>
        </row>
        <row r="319">
          <cell r="B319" t="str">
            <v>3 піхотна рота</v>
          </cell>
          <cell r="I319" t="str">
            <v>солд.</v>
          </cell>
        </row>
        <row r="320">
          <cell r="B320" t="str">
            <v>3 піхотна рота</v>
          </cell>
          <cell r="I320" t="str">
            <v>Серж.</v>
          </cell>
          <cell r="M320" t="str">
            <v>солдат</v>
          </cell>
          <cell r="U320" t="str">
            <v>Відком. за межі ПБ</v>
          </cell>
          <cell r="AE320" t="str">
            <v>Полк</v>
          </cell>
        </row>
        <row r="321">
          <cell r="B321" t="str">
            <v>3 піхотна рота</v>
          </cell>
          <cell r="I321" t="str">
            <v>солд.</v>
          </cell>
          <cell r="M321" t="str">
            <v>солдат</v>
          </cell>
          <cell r="U321" t="str">
            <v>Зниклі безвісти</v>
          </cell>
        </row>
        <row r="322">
          <cell r="B322" t="str">
            <v>3 піхотна рота</v>
          </cell>
          <cell r="I322" t="str">
            <v>солд.</v>
          </cell>
          <cell r="M322" t="str">
            <v>солдат</v>
          </cell>
          <cell r="U322" t="str">
            <v>В строю</v>
          </cell>
          <cell r="AE322" t="str">
            <v>ППД Вишневе</v>
          </cell>
        </row>
        <row r="323">
          <cell r="B323" t="str">
            <v>3 піхотна рота</v>
          </cell>
          <cell r="I323" t="str">
            <v>солд.</v>
          </cell>
          <cell r="M323" t="str">
            <v>солдат</v>
          </cell>
          <cell r="U323" t="str">
            <v>Лікування</v>
          </cell>
          <cell r="AE323" t="str">
            <v>Шпиталь</v>
          </cell>
        </row>
        <row r="324">
          <cell r="B324" t="str">
            <v>3 піхотна рота</v>
          </cell>
          <cell r="I324" t="str">
            <v>солд.</v>
          </cell>
          <cell r="M324" t="str">
            <v>матрос</v>
          </cell>
          <cell r="U324" t="str">
            <v>В строю</v>
          </cell>
          <cell r="AE324" t="str">
            <v>На виконанні</v>
          </cell>
        </row>
        <row r="325">
          <cell r="B325" t="str">
            <v>3 піхотна рота</v>
          </cell>
          <cell r="I325" t="str">
            <v>солд.</v>
          </cell>
          <cell r="M325" t="str">
            <v>солдат</v>
          </cell>
          <cell r="U325" t="str">
            <v>В строю</v>
          </cell>
          <cell r="AE325" t="str">
            <v>ППД Вишневе</v>
          </cell>
        </row>
        <row r="326">
          <cell r="B326" t="str">
            <v>3 піхотна рота</v>
          </cell>
          <cell r="I326" t="str">
            <v>солд.</v>
          </cell>
          <cell r="M326" t="str">
            <v>солдат</v>
          </cell>
          <cell r="U326" t="str">
            <v>Лікування</v>
          </cell>
          <cell r="AE326" t="str">
            <v>Мед. рота</v>
          </cell>
        </row>
        <row r="327">
          <cell r="B327" t="str">
            <v>3 піхотна рота</v>
          </cell>
          <cell r="I327" t="str">
            <v>солд.</v>
          </cell>
          <cell r="M327" t="str">
            <v>молодший сержант</v>
          </cell>
          <cell r="U327" t="str">
            <v>В строю</v>
          </cell>
          <cell r="AE327" t="str">
            <v>КСП Павлоград</v>
          </cell>
        </row>
        <row r="328">
          <cell r="B328" t="str">
            <v>3 піхотна рота</v>
          </cell>
          <cell r="I328" t="str">
            <v>солд.</v>
          </cell>
          <cell r="M328" t="str">
            <v>солдат</v>
          </cell>
          <cell r="U328" t="str">
            <v>В строю</v>
          </cell>
          <cell r="AE328" t="str">
            <v>На виконанні</v>
          </cell>
        </row>
        <row r="329">
          <cell r="B329" t="str">
            <v>3 піхотна рота</v>
          </cell>
          <cell r="I329" t="str">
            <v>Оф.</v>
          </cell>
          <cell r="M329" t="str">
            <v>сержант</v>
          </cell>
          <cell r="U329" t="str">
            <v>Відком. за межі ПБ</v>
          </cell>
          <cell r="AE329" t="str">
            <v>Полк</v>
          </cell>
        </row>
        <row r="330">
          <cell r="B330" t="str">
            <v>3 піхотна рота</v>
          </cell>
          <cell r="I330" t="str">
            <v>Серж.</v>
          </cell>
        </row>
        <row r="331">
          <cell r="B331" t="str">
            <v>3 піхотна рота</v>
          </cell>
          <cell r="I331" t="str">
            <v>солд.</v>
          </cell>
          <cell r="M331" t="str">
            <v>солдат</v>
          </cell>
          <cell r="U331" t="str">
            <v>В строю</v>
          </cell>
          <cell r="AE331" t="str">
            <v>ППД Вишневе</v>
          </cell>
        </row>
        <row r="332">
          <cell r="B332" t="str">
            <v>3 піхотна рота</v>
          </cell>
          <cell r="I332" t="str">
            <v>Серж.</v>
          </cell>
        </row>
        <row r="333">
          <cell r="B333" t="str">
            <v>3 піхотна рота</v>
          </cell>
          <cell r="I333" t="str">
            <v>солд.</v>
          </cell>
          <cell r="M333" t="str">
            <v>солдат</v>
          </cell>
          <cell r="U333" t="str">
            <v>В строю</v>
          </cell>
          <cell r="AE333" t="str">
            <v>ППД Самарське (літуни)</v>
          </cell>
        </row>
        <row r="334">
          <cell r="B334" t="str">
            <v>3 піхотна рота</v>
          </cell>
          <cell r="I334" t="str">
            <v>солд.</v>
          </cell>
          <cell r="M334" t="str">
            <v>старший солдат</v>
          </cell>
          <cell r="U334" t="str">
            <v>Лікування</v>
          </cell>
          <cell r="AE334" t="str">
            <v>Шпиталь</v>
          </cell>
        </row>
        <row r="335">
          <cell r="B335" t="str">
            <v>3 піхотна рота</v>
          </cell>
          <cell r="I335" t="str">
            <v>солд.</v>
          </cell>
          <cell r="M335" t="str">
            <v>солдат</v>
          </cell>
          <cell r="U335" t="str">
            <v>В строю</v>
          </cell>
          <cell r="AE335" t="str">
            <v>ППД Вишневе</v>
          </cell>
        </row>
        <row r="336">
          <cell r="B336" t="str">
            <v>3 піхотна рота</v>
          </cell>
          <cell r="I336" t="str">
            <v>солд.</v>
          </cell>
          <cell r="M336" t="str">
            <v>солдат</v>
          </cell>
          <cell r="U336" t="str">
            <v>Лікування</v>
          </cell>
          <cell r="AE336" t="str">
            <v>Відпустка лікув.</v>
          </cell>
        </row>
        <row r="337">
          <cell r="B337" t="str">
            <v>3 піхотна рота</v>
          </cell>
          <cell r="I337" t="str">
            <v>солд.</v>
          </cell>
          <cell r="M337" t="str">
            <v>солдат</v>
          </cell>
          <cell r="U337" t="str">
            <v>Лікування</v>
          </cell>
          <cell r="AE337" t="str">
            <v>Відпустка лікув.</v>
          </cell>
        </row>
        <row r="338">
          <cell r="B338" t="str">
            <v>3 піхотна рота</v>
          </cell>
          <cell r="I338" t="str">
            <v>солд.</v>
          </cell>
          <cell r="M338" t="str">
            <v>солдат</v>
          </cell>
          <cell r="U338" t="str">
            <v>В строю</v>
          </cell>
          <cell r="AE338" t="str">
            <v>ППД Вишневе</v>
          </cell>
        </row>
        <row r="339">
          <cell r="B339" t="str">
            <v>3 піхотна рота</v>
          </cell>
          <cell r="I339" t="str">
            <v>солд.</v>
          </cell>
          <cell r="M339" t="str">
            <v>солдат</v>
          </cell>
          <cell r="U339" t="str">
            <v>Лікування</v>
          </cell>
          <cell r="AE339" t="str">
            <v>Відпустка лікув.</v>
          </cell>
        </row>
        <row r="340">
          <cell r="B340" t="str">
            <v>3 піхотна рота</v>
          </cell>
          <cell r="I340" t="str">
            <v>солд.</v>
          </cell>
          <cell r="M340" t="str">
            <v>солдат</v>
          </cell>
          <cell r="U340" t="str">
            <v>В строю</v>
          </cell>
          <cell r="AE340" t="str">
            <v>КСП Павлоград</v>
          </cell>
        </row>
        <row r="341">
          <cell r="B341" t="str">
            <v>3 піхотна рота</v>
          </cell>
          <cell r="I341" t="str">
            <v>Серж.</v>
          </cell>
          <cell r="M341" t="str">
            <v>молодший сержант</v>
          </cell>
          <cell r="U341" t="str">
            <v>В строю</v>
          </cell>
          <cell r="AE341" t="str">
            <v>КСП Павлоград</v>
          </cell>
        </row>
        <row r="342">
          <cell r="B342" t="str">
            <v>3 піхотна рота</v>
          </cell>
          <cell r="I342" t="str">
            <v>солд.</v>
          </cell>
          <cell r="M342" t="str">
            <v>солдат</v>
          </cell>
          <cell r="U342" t="str">
            <v>Лікування</v>
          </cell>
          <cell r="AE342" t="str">
            <v>Мед. рота</v>
          </cell>
        </row>
        <row r="343">
          <cell r="B343" t="str">
            <v>3 піхотна рота</v>
          </cell>
          <cell r="I343" t="str">
            <v>солд.</v>
          </cell>
          <cell r="M343" t="str">
            <v>солдат</v>
          </cell>
          <cell r="U343" t="str">
            <v>СЗЧ</v>
          </cell>
        </row>
        <row r="344">
          <cell r="B344" t="str">
            <v>3 піхотна рота</v>
          </cell>
          <cell r="I344" t="str">
            <v>солд.</v>
          </cell>
          <cell r="M344" t="str">
            <v>солдат</v>
          </cell>
          <cell r="U344" t="str">
            <v>Відком. за межі ПБ</v>
          </cell>
          <cell r="AE344" t="str">
            <v>Полігон "Б"</v>
          </cell>
        </row>
        <row r="345">
          <cell r="B345" t="str">
            <v>3 піхотна рота</v>
          </cell>
          <cell r="I345" t="str">
            <v>солд.</v>
          </cell>
          <cell r="M345" t="str">
            <v>солдат</v>
          </cell>
          <cell r="U345" t="str">
            <v>Зниклі безвісти</v>
          </cell>
        </row>
        <row r="346">
          <cell r="B346" t="str">
            <v>3 піхотна рота</v>
          </cell>
          <cell r="I346" t="str">
            <v>солд.</v>
          </cell>
          <cell r="M346" t="str">
            <v>солдат</v>
          </cell>
          <cell r="U346" t="str">
            <v>В строю</v>
          </cell>
          <cell r="AE346" t="str">
            <v>ППД Вишневе</v>
          </cell>
        </row>
        <row r="347">
          <cell r="B347" t="str">
            <v>3 піхотна рота</v>
          </cell>
          <cell r="I347" t="str">
            <v>солд.</v>
          </cell>
          <cell r="M347" t="str">
            <v>солдат</v>
          </cell>
          <cell r="U347" t="str">
            <v>Загиблі</v>
          </cell>
        </row>
        <row r="348">
          <cell r="B348" t="str">
            <v>3 піхотна рота</v>
          </cell>
          <cell r="I348" t="str">
            <v>солд.</v>
          </cell>
          <cell r="M348" t="str">
            <v>солдат</v>
          </cell>
          <cell r="U348" t="str">
            <v>Зниклі безвісти</v>
          </cell>
        </row>
        <row r="349">
          <cell r="B349" t="str">
            <v>3 піхотна рота</v>
          </cell>
          <cell r="I349" t="str">
            <v>солд.</v>
          </cell>
          <cell r="M349" t="str">
            <v>солдат</v>
          </cell>
          <cell r="U349" t="str">
            <v>В строю</v>
          </cell>
          <cell r="AE349" t="str">
            <v>ППД Вишневе</v>
          </cell>
        </row>
        <row r="350">
          <cell r="B350" t="str">
            <v>3 піхотна рота</v>
          </cell>
          <cell r="I350" t="str">
            <v>Серж.</v>
          </cell>
          <cell r="M350" t="str">
            <v>солдат</v>
          </cell>
          <cell r="U350" t="str">
            <v>В строю</v>
          </cell>
          <cell r="AE350" t="str">
            <v>На виконанні</v>
          </cell>
        </row>
        <row r="351">
          <cell r="B351" t="str">
            <v>3 піхотна рота</v>
          </cell>
          <cell r="I351" t="str">
            <v>солд.</v>
          </cell>
          <cell r="M351" t="str">
            <v>солдат</v>
          </cell>
          <cell r="U351" t="str">
            <v>В строю</v>
          </cell>
          <cell r="AE351" t="str">
            <v>ППД Петропавлівка (літуни)</v>
          </cell>
        </row>
        <row r="352">
          <cell r="B352" t="str">
            <v>3 піхотна рота</v>
          </cell>
          <cell r="I352" t="str">
            <v>солд.</v>
          </cell>
          <cell r="M352" t="str">
            <v>солдат</v>
          </cell>
          <cell r="U352" t="str">
            <v>Відком. за межі ПБ</v>
          </cell>
        </row>
        <row r="353">
          <cell r="B353" t="str">
            <v>3 піхотна рота</v>
          </cell>
          <cell r="I353" t="str">
            <v>солд.</v>
          </cell>
          <cell r="M353" t="str">
            <v>солдат</v>
          </cell>
          <cell r="U353" t="str">
            <v>В строю</v>
          </cell>
          <cell r="AE353" t="str">
            <v>На виконанні</v>
          </cell>
        </row>
        <row r="354">
          <cell r="B354" t="str">
            <v>3 піхотна рота</v>
          </cell>
          <cell r="I354" t="str">
            <v>солд.</v>
          </cell>
          <cell r="M354" t="str">
            <v>солдат</v>
          </cell>
          <cell r="U354" t="str">
            <v>Відком. за межі ПБ</v>
          </cell>
        </row>
        <row r="355">
          <cell r="B355" t="str">
            <v>3 піхотна рота</v>
          </cell>
          <cell r="I355" t="str">
            <v>солд.</v>
          </cell>
        </row>
        <row r="356">
          <cell r="B356" t="str">
            <v>3 піхотна рота</v>
          </cell>
          <cell r="I356" t="str">
            <v>солд.</v>
          </cell>
          <cell r="M356" t="str">
            <v>солдат</v>
          </cell>
          <cell r="U356" t="str">
            <v>В строю</v>
          </cell>
          <cell r="AE356" t="str">
            <v>На виконанні</v>
          </cell>
        </row>
        <row r="357">
          <cell r="B357" t="str">
            <v>3 піхотна рота</v>
          </cell>
          <cell r="I357" t="str">
            <v>солд.</v>
          </cell>
          <cell r="M357" t="str">
            <v>рядовий</v>
          </cell>
          <cell r="U357" t="str">
            <v>В строю</v>
          </cell>
          <cell r="AE357" t="str">
            <v>ППД Вишневе</v>
          </cell>
        </row>
        <row r="358">
          <cell r="B358" t="str">
            <v>3 піхотна рота</v>
          </cell>
          <cell r="I358" t="str">
            <v>солд.</v>
          </cell>
          <cell r="M358" t="str">
            <v>солдат</v>
          </cell>
          <cell r="U358" t="str">
            <v>Лікування</v>
          </cell>
          <cell r="AE358" t="str">
            <v>Шпиталь</v>
          </cell>
        </row>
        <row r="359">
          <cell r="B359" t="str">
            <v>3 піхотна рота</v>
          </cell>
          <cell r="I359" t="str">
            <v>Оф.</v>
          </cell>
          <cell r="M359" t="str">
            <v>молодший лейтенант</v>
          </cell>
          <cell r="U359" t="str">
            <v>Відком. за межі ПБ</v>
          </cell>
        </row>
        <row r="360">
          <cell r="B360" t="str">
            <v>3 піхотна рота</v>
          </cell>
          <cell r="I360" t="str">
            <v>Серж.</v>
          </cell>
        </row>
        <row r="361">
          <cell r="B361" t="str">
            <v>3 піхотна рота</v>
          </cell>
          <cell r="I361" t="str">
            <v>Серж.</v>
          </cell>
          <cell r="M361" t="str">
            <v>молодший сержант</v>
          </cell>
          <cell r="U361" t="str">
            <v>В строю</v>
          </cell>
          <cell r="AE361" t="str">
            <v>КСП Павлоград</v>
          </cell>
        </row>
        <row r="362">
          <cell r="B362" t="str">
            <v>3 піхотна рота</v>
          </cell>
          <cell r="I362" t="str">
            <v>Серж.</v>
          </cell>
          <cell r="M362" t="str">
            <v>солдат</v>
          </cell>
          <cell r="U362" t="str">
            <v>В строю</v>
          </cell>
          <cell r="AE362" t="str">
            <v>Полігон "Б"</v>
          </cell>
        </row>
        <row r="363">
          <cell r="B363" t="str">
            <v>3 піхотна рота</v>
          </cell>
          <cell r="I363" t="str">
            <v>солд.</v>
          </cell>
          <cell r="M363" t="str">
            <v>солдат</v>
          </cell>
          <cell r="U363" t="str">
            <v>В строю</v>
          </cell>
          <cell r="AE363" t="str">
            <v>ППД Вишневе</v>
          </cell>
        </row>
        <row r="364">
          <cell r="B364" t="str">
            <v>3 піхотна рота</v>
          </cell>
          <cell r="I364" t="str">
            <v>солд.</v>
          </cell>
          <cell r="M364" t="str">
            <v>солдат</v>
          </cell>
          <cell r="U364" t="str">
            <v>Загиблі</v>
          </cell>
        </row>
        <row r="365">
          <cell r="B365" t="str">
            <v>3 піхотна рота</v>
          </cell>
          <cell r="I365" t="str">
            <v>солд.</v>
          </cell>
          <cell r="M365" t="str">
            <v>солдат</v>
          </cell>
          <cell r="U365" t="str">
            <v>В строю</v>
          </cell>
          <cell r="AE365" t="str">
            <v>ППД Слов'янка (13-й)</v>
          </cell>
        </row>
        <row r="366">
          <cell r="B366" t="str">
            <v>3 піхотна рота</v>
          </cell>
          <cell r="I366" t="str">
            <v>солд.</v>
          </cell>
          <cell r="M366" t="str">
            <v>солдат</v>
          </cell>
          <cell r="U366" t="str">
            <v>Лікування</v>
          </cell>
          <cell r="AE366" t="str">
            <v>Шпиталь</v>
          </cell>
        </row>
        <row r="367">
          <cell r="B367" t="str">
            <v>3 піхотна рота</v>
          </cell>
          <cell r="I367" t="str">
            <v>солд.</v>
          </cell>
          <cell r="M367" t="str">
            <v>солдат</v>
          </cell>
          <cell r="U367" t="str">
            <v>Відком. за межі ПБ</v>
          </cell>
        </row>
        <row r="368">
          <cell r="B368" t="str">
            <v>3 піхотна рота</v>
          </cell>
          <cell r="I368" t="str">
            <v>солд.</v>
          </cell>
          <cell r="M368" t="str">
            <v>молодший сержант</v>
          </cell>
          <cell r="U368" t="str">
            <v>Лікування</v>
          </cell>
          <cell r="AE368" t="str">
            <v>Мед. рота</v>
          </cell>
        </row>
        <row r="369">
          <cell r="B369" t="str">
            <v>3 піхотна рота</v>
          </cell>
          <cell r="I369" t="str">
            <v>солд.</v>
          </cell>
          <cell r="M369" t="str">
            <v>солдат</v>
          </cell>
          <cell r="U369" t="str">
            <v>В строю</v>
          </cell>
          <cell r="AE369" t="str">
            <v>ППД Вишневе</v>
          </cell>
        </row>
        <row r="370">
          <cell r="B370" t="str">
            <v>3 піхотна рота</v>
          </cell>
          <cell r="I370" t="str">
            <v>солд.</v>
          </cell>
          <cell r="M370" t="str">
            <v>солдат</v>
          </cell>
          <cell r="U370" t="str">
            <v>В строю</v>
          </cell>
          <cell r="AE370" t="str">
            <v>ППД Вишневе</v>
          </cell>
        </row>
        <row r="371">
          <cell r="B371" t="str">
            <v>3 піхотна рота</v>
          </cell>
          <cell r="I371" t="str">
            <v>солд.</v>
          </cell>
          <cell r="M371" t="str">
            <v>солдат</v>
          </cell>
          <cell r="U371" t="str">
            <v>Лікування</v>
          </cell>
          <cell r="AE371" t="str">
            <v>Шпиталь</v>
          </cell>
        </row>
        <row r="372">
          <cell r="B372" t="str">
            <v>3 піхотна рота</v>
          </cell>
          <cell r="I372" t="str">
            <v>солд.</v>
          </cell>
          <cell r="M372" t="str">
            <v>солдат</v>
          </cell>
          <cell r="U372" t="str">
            <v>В строю</v>
          </cell>
          <cell r="AE372" t="str">
            <v>На виконанні</v>
          </cell>
        </row>
        <row r="373">
          <cell r="B373" t="str">
            <v>Рота безпілотних авіаційних комплексів</v>
          </cell>
          <cell r="I373" t="str">
            <v>Оф.</v>
          </cell>
        </row>
        <row r="374">
          <cell r="B374" t="str">
            <v>Рота безпілотних авіаційних комплексів</v>
          </cell>
          <cell r="I374" t="str">
            <v>Оф.</v>
          </cell>
        </row>
        <row r="375">
          <cell r="B375" t="str">
            <v>Рота безпілотних авіаційних комплексів</v>
          </cell>
          <cell r="I375" t="str">
            <v>Оф.</v>
          </cell>
          <cell r="M375" t="str">
            <v>старший лейтенант</v>
          </cell>
          <cell r="U375" t="str">
            <v>В строю</v>
          </cell>
          <cell r="AE375" t="str">
            <v>ППД Вишневе</v>
          </cell>
        </row>
        <row r="376">
          <cell r="B376" t="str">
            <v>Рота безпілотних авіаційних комплексів</v>
          </cell>
          <cell r="I376" t="str">
            <v>Серж.</v>
          </cell>
        </row>
        <row r="377">
          <cell r="B377" t="str">
            <v>Рота безпілотних авіаційних комплексів</v>
          </cell>
          <cell r="I377" t="str">
            <v>Серж.</v>
          </cell>
          <cell r="M377" t="str">
            <v>молодший сержант</v>
          </cell>
          <cell r="U377" t="str">
            <v>В строю</v>
          </cell>
          <cell r="AE377" t="str">
            <v>ППД Слов'янка (техніка)</v>
          </cell>
        </row>
        <row r="378">
          <cell r="B378" t="str">
            <v>Рота безпілотних авіаційних комплексів</v>
          </cell>
          <cell r="I378" t="str">
            <v>Серж.</v>
          </cell>
          <cell r="M378" t="str">
            <v>сержант</v>
          </cell>
          <cell r="U378" t="str">
            <v>В строю</v>
          </cell>
          <cell r="AE378" t="str">
            <v>ППД Вишневе</v>
          </cell>
        </row>
        <row r="379">
          <cell r="B379" t="str">
            <v>Рота безпілотних авіаційних комплексів</v>
          </cell>
          <cell r="I379" t="str">
            <v>Серж.</v>
          </cell>
          <cell r="M379" t="str">
            <v>молодший сержант</v>
          </cell>
          <cell r="U379" t="str">
            <v>В строю</v>
          </cell>
          <cell r="AE379" t="str">
            <v>ППД Лугова (літуни)</v>
          </cell>
        </row>
        <row r="380">
          <cell r="B380" t="str">
            <v>Рота безпілотних авіаційних комплексів</v>
          </cell>
          <cell r="I380" t="str">
            <v>Серж.</v>
          </cell>
        </row>
        <row r="381">
          <cell r="B381" t="str">
            <v>Рота безпілотних авіаційних комплексів</v>
          </cell>
          <cell r="I381" t="str">
            <v>солд.</v>
          </cell>
          <cell r="M381" t="str">
            <v>солдат</v>
          </cell>
          <cell r="U381" t="str">
            <v>В строю</v>
          </cell>
          <cell r="AE381" t="str">
            <v>ППД Вишневе</v>
          </cell>
        </row>
        <row r="382">
          <cell r="B382" t="str">
            <v>Рота безпілотних авіаційних комплексів</v>
          </cell>
          <cell r="I382" t="str">
            <v>солд.</v>
          </cell>
          <cell r="M382" t="str">
            <v>солдат</v>
          </cell>
          <cell r="U382" t="str">
            <v>Лікування</v>
          </cell>
          <cell r="AE382" t="str">
            <v>Шпиталь</v>
          </cell>
        </row>
        <row r="383">
          <cell r="B383" t="str">
            <v>Рота безпілотних авіаційних комплексів</v>
          </cell>
          <cell r="I383" t="str">
            <v>Оф.</v>
          </cell>
          <cell r="M383" t="str">
            <v>старший лейтенант</v>
          </cell>
          <cell r="U383" t="str">
            <v>В строю</v>
          </cell>
          <cell r="AE383" t="str">
            <v>ППД Вишневе</v>
          </cell>
        </row>
        <row r="384">
          <cell r="B384" t="str">
            <v>Рота безпілотних авіаційних комплексів</v>
          </cell>
          <cell r="I384" t="str">
            <v>Серж.</v>
          </cell>
          <cell r="M384" t="str">
            <v>молодший сержант</v>
          </cell>
          <cell r="U384" t="str">
            <v>В строю</v>
          </cell>
          <cell r="AE384" t="str">
            <v>ЄКЦ Павлоград</v>
          </cell>
        </row>
        <row r="385">
          <cell r="B385" t="str">
            <v>Рота безпілотних авіаційних комплексів</v>
          </cell>
          <cell r="I385" t="str">
            <v>Серж.</v>
          </cell>
        </row>
        <row r="386">
          <cell r="B386" t="str">
            <v>Рота безпілотних авіаційних комплексів</v>
          </cell>
          <cell r="I386" t="str">
            <v>солд.</v>
          </cell>
          <cell r="M386" t="str">
            <v>солдат</v>
          </cell>
          <cell r="U386" t="str">
            <v>В строю</v>
          </cell>
          <cell r="AE386" t="str">
            <v>КСП Павлоград</v>
          </cell>
        </row>
        <row r="387">
          <cell r="B387" t="str">
            <v>Рота безпілотних авіаційних комплексів</v>
          </cell>
          <cell r="I387" t="str">
            <v>Серж.</v>
          </cell>
          <cell r="M387" t="str">
            <v>молодший сержант</v>
          </cell>
          <cell r="U387" t="str">
            <v>В строю</v>
          </cell>
          <cell r="AE387" t="str">
            <v>ППД Вишневе</v>
          </cell>
        </row>
        <row r="388">
          <cell r="B388" t="str">
            <v>Рота безпілотних авіаційних комплексів</v>
          </cell>
          <cell r="I388" t="str">
            <v>солд.</v>
          </cell>
          <cell r="M388" t="str">
            <v>солдат</v>
          </cell>
          <cell r="U388" t="str">
            <v>В строю</v>
          </cell>
          <cell r="AE388" t="str">
            <v>ППД Петропавлівка (літуни)</v>
          </cell>
        </row>
        <row r="389">
          <cell r="B389" t="str">
            <v>Рота безпілотних авіаційних комплексів</v>
          </cell>
          <cell r="I389" t="str">
            <v>солд.</v>
          </cell>
          <cell r="M389" t="str">
            <v>солдат</v>
          </cell>
          <cell r="U389" t="str">
            <v>В строю</v>
          </cell>
          <cell r="AE389" t="str">
            <v>На виконанні</v>
          </cell>
        </row>
        <row r="390">
          <cell r="B390" t="str">
            <v>Рота безпілотних авіаційних комплексів</v>
          </cell>
          <cell r="I390" t="str">
            <v>солд.</v>
          </cell>
        </row>
        <row r="391">
          <cell r="B391" t="str">
            <v>Рота безпілотних авіаційних комплексів</v>
          </cell>
          <cell r="I391" t="str">
            <v>Серж.</v>
          </cell>
          <cell r="M391" t="str">
            <v>сержант</v>
          </cell>
          <cell r="U391" t="str">
            <v>В строю</v>
          </cell>
          <cell r="AE391" t="str">
            <v>На виконанні</v>
          </cell>
        </row>
        <row r="392">
          <cell r="B392" t="str">
            <v>Рота безпілотних авіаційних комплексів</v>
          </cell>
          <cell r="I392" t="str">
            <v>солд.</v>
          </cell>
          <cell r="M392" t="str">
            <v>солдат</v>
          </cell>
          <cell r="U392" t="str">
            <v>Лікування</v>
          </cell>
          <cell r="AE392" t="str">
            <v>Мед. рота</v>
          </cell>
        </row>
        <row r="393">
          <cell r="B393" t="str">
            <v>Рота безпілотних авіаційних комплексів</v>
          </cell>
          <cell r="I393" t="str">
            <v>солд.</v>
          </cell>
          <cell r="M393" t="str">
            <v>солдат</v>
          </cell>
          <cell r="U393" t="str">
            <v>Від-ні навчання</v>
          </cell>
        </row>
        <row r="394">
          <cell r="B394" t="str">
            <v>Рота безпілотних авіаційних комплексів</v>
          </cell>
          <cell r="I394" t="str">
            <v>солд.</v>
          </cell>
          <cell r="M394" t="str">
            <v>солдат</v>
          </cell>
          <cell r="U394" t="str">
            <v>В строю</v>
          </cell>
          <cell r="AE394" t="str">
            <v>На виконанні</v>
          </cell>
        </row>
        <row r="395">
          <cell r="B395" t="str">
            <v>Рота безпілотних авіаційних комплексів</v>
          </cell>
          <cell r="I395" t="str">
            <v>Серж.</v>
          </cell>
          <cell r="M395" t="str">
            <v>молодший сержант</v>
          </cell>
          <cell r="U395" t="str">
            <v>Лікування</v>
          </cell>
          <cell r="AE395" t="str">
            <v>Шпиталь</v>
          </cell>
        </row>
        <row r="396">
          <cell r="B396" t="str">
            <v>Рота безпілотних авіаційних комплексів</v>
          </cell>
          <cell r="I396" t="str">
            <v>солд.</v>
          </cell>
        </row>
        <row r="397">
          <cell r="B397" t="str">
            <v>Рота безпілотних авіаційних комплексів</v>
          </cell>
          <cell r="I397" t="str">
            <v>солд.</v>
          </cell>
          <cell r="M397" t="str">
            <v>солдат</v>
          </cell>
          <cell r="U397" t="str">
            <v>В строю</v>
          </cell>
          <cell r="AE397" t="str">
            <v>ППД Петропавлівка (літуни)</v>
          </cell>
        </row>
        <row r="398">
          <cell r="B398" t="str">
            <v>Рота безпілотних авіаційних комплексів</v>
          </cell>
          <cell r="I398" t="str">
            <v>солд.</v>
          </cell>
          <cell r="M398" t="str">
            <v>солдат</v>
          </cell>
          <cell r="U398" t="str">
            <v>В строю</v>
          </cell>
          <cell r="AE398" t="str">
            <v>На виконанні</v>
          </cell>
        </row>
        <row r="399">
          <cell r="B399" t="str">
            <v>Рота безпілотних авіаційних комплексів</v>
          </cell>
          <cell r="I399" t="str">
            <v>Оф.</v>
          </cell>
          <cell r="M399" t="str">
            <v>лейтенант</v>
          </cell>
          <cell r="U399" t="str">
            <v>СЗЧ</v>
          </cell>
        </row>
        <row r="400">
          <cell r="B400" t="str">
            <v>Рота безпілотних авіаційних комплексів</v>
          </cell>
          <cell r="I400" t="str">
            <v>Серж.</v>
          </cell>
        </row>
        <row r="401">
          <cell r="B401" t="str">
            <v>Рота безпілотних авіаційних комплексів</v>
          </cell>
          <cell r="I401" t="str">
            <v>Серж.</v>
          </cell>
        </row>
        <row r="402">
          <cell r="B402" t="str">
            <v>Рота безпілотних авіаційних комплексів</v>
          </cell>
          <cell r="I402" t="str">
            <v>солд.</v>
          </cell>
          <cell r="M402" t="str">
            <v>солдат</v>
          </cell>
          <cell r="U402" t="str">
            <v>В строю</v>
          </cell>
          <cell r="AE402" t="str">
            <v>На виконанні</v>
          </cell>
        </row>
        <row r="403">
          <cell r="B403" t="str">
            <v>Рота безпілотних авіаційних комплексів</v>
          </cell>
          <cell r="I403" t="str">
            <v>солд.</v>
          </cell>
          <cell r="M403" t="str">
            <v>солдат</v>
          </cell>
          <cell r="U403" t="str">
            <v>В строю</v>
          </cell>
          <cell r="AE403" t="str">
            <v>На виконанні</v>
          </cell>
        </row>
        <row r="404">
          <cell r="B404" t="str">
            <v>Рота безпілотних авіаційних комплексів</v>
          </cell>
          <cell r="I404" t="str">
            <v>Серж.</v>
          </cell>
          <cell r="M404" t="str">
            <v>солдат</v>
          </cell>
          <cell r="U404" t="str">
            <v>В строю</v>
          </cell>
          <cell r="AE404" t="str">
            <v>ППД Слов'янка (техніка)</v>
          </cell>
        </row>
        <row r="405">
          <cell r="B405" t="str">
            <v>Рота безпілотних авіаційних комплексів</v>
          </cell>
          <cell r="I405" t="str">
            <v>солд.</v>
          </cell>
          <cell r="M405" t="str">
            <v>солдат</v>
          </cell>
          <cell r="U405" t="str">
            <v>Лікування</v>
          </cell>
          <cell r="AE405" t="str">
            <v>Відпустка лікув.</v>
          </cell>
        </row>
        <row r="406">
          <cell r="B406" t="str">
            <v>Рота безпілотних авіаційних комплексів</v>
          </cell>
          <cell r="I406" t="str">
            <v>солд.</v>
          </cell>
          <cell r="M406" t="str">
            <v>солдат</v>
          </cell>
          <cell r="U406" t="str">
            <v>В строю</v>
          </cell>
          <cell r="AE406" t="str">
            <v>На виконанні</v>
          </cell>
        </row>
        <row r="407">
          <cell r="B407" t="str">
            <v>Рота безпілотних авіаційних комплексів</v>
          </cell>
          <cell r="I407" t="str">
            <v>солд.</v>
          </cell>
          <cell r="M407" t="str">
            <v>солдат</v>
          </cell>
          <cell r="U407" t="str">
            <v>В строю</v>
          </cell>
          <cell r="AE407" t="str">
            <v>На виконанні</v>
          </cell>
        </row>
        <row r="408">
          <cell r="B408" t="str">
            <v>Рота безпілотних авіаційних комплексів</v>
          </cell>
          <cell r="I408" t="str">
            <v>солд.</v>
          </cell>
          <cell r="M408" t="str">
            <v>солдат</v>
          </cell>
          <cell r="U408" t="str">
            <v>Лікування</v>
          </cell>
          <cell r="AE408" t="str">
            <v>Шпиталь</v>
          </cell>
        </row>
        <row r="409">
          <cell r="B409" t="str">
            <v>Рота безпілотних авіаційних комплексів</v>
          </cell>
          <cell r="I409" t="str">
            <v>Серж.</v>
          </cell>
          <cell r="M409" t="str">
            <v>солдат</v>
          </cell>
          <cell r="U409" t="str">
            <v>В строю</v>
          </cell>
          <cell r="AE409" t="str">
            <v>ППД Польова</v>
          </cell>
        </row>
        <row r="410">
          <cell r="B410" t="str">
            <v>Рота безпілотних авіаційних комплексів</v>
          </cell>
          <cell r="I410" t="str">
            <v>солд.</v>
          </cell>
          <cell r="M410" t="str">
            <v>солдат</v>
          </cell>
          <cell r="U410" t="str">
            <v>СЗЧ</v>
          </cell>
        </row>
        <row r="411">
          <cell r="B411" t="str">
            <v>Рота безпілотних авіаційних комплексів</v>
          </cell>
          <cell r="I411" t="str">
            <v>солд.</v>
          </cell>
        </row>
        <row r="412">
          <cell r="B412" t="str">
            <v>Рота безпілотних авіаційних комплексів</v>
          </cell>
          <cell r="I412" t="str">
            <v>солд.</v>
          </cell>
          <cell r="M412" t="str">
            <v>солдат</v>
          </cell>
          <cell r="U412" t="str">
            <v>В строю</v>
          </cell>
          <cell r="AE412" t="str">
            <v>ППД Петропавлівка</v>
          </cell>
        </row>
        <row r="413">
          <cell r="B413" t="str">
            <v>Рота безпілотних авіаційних комплексів</v>
          </cell>
          <cell r="I413" t="str">
            <v>солд.</v>
          </cell>
          <cell r="M413" t="str">
            <v>солдат</v>
          </cell>
          <cell r="U413" t="str">
            <v>В строю</v>
          </cell>
          <cell r="AE413" t="str">
            <v>ППД Вишневе</v>
          </cell>
        </row>
        <row r="414">
          <cell r="B414" t="str">
            <v>Рота безпілотних авіаційних комплексів</v>
          </cell>
          <cell r="I414" t="str">
            <v>Серж.</v>
          </cell>
          <cell r="M414" t="str">
            <v>солдат</v>
          </cell>
          <cell r="U414" t="str">
            <v>В строю</v>
          </cell>
          <cell r="AE414" t="str">
            <v>ППД Самарське (літуни)</v>
          </cell>
        </row>
        <row r="415">
          <cell r="B415" t="str">
            <v>Рота безпілотних авіаційних комплексів</v>
          </cell>
          <cell r="I415" t="str">
            <v>солд.</v>
          </cell>
          <cell r="M415" t="str">
            <v>солдат</v>
          </cell>
          <cell r="U415" t="str">
            <v>Лікування</v>
          </cell>
          <cell r="AE415" t="str">
            <v>Шпиталь</v>
          </cell>
        </row>
        <row r="416">
          <cell r="B416" t="str">
            <v>Рота безпілотних авіаційних комплексів</v>
          </cell>
          <cell r="I416" t="str">
            <v>солд.</v>
          </cell>
          <cell r="M416" t="str">
            <v>солдат</v>
          </cell>
          <cell r="U416" t="str">
            <v>Відком. за межі ПБ</v>
          </cell>
          <cell r="AE416" t="str">
            <v>Полігон "Б"</v>
          </cell>
        </row>
        <row r="417">
          <cell r="B417" t="str">
            <v>Рота безпілотних авіаційних комплексів</v>
          </cell>
          <cell r="I417" t="str">
            <v>солд.</v>
          </cell>
          <cell r="M417" t="str">
            <v>солдат</v>
          </cell>
          <cell r="U417" t="str">
            <v>В строю</v>
          </cell>
          <cell r="AE417" t="str">
            <v>На виконанні</v>
          </cell>
        </row>
        <row r="418">
          <cell r="B418" t="str">
            <v>Рота безпілотних авіаційних комплексів</v>
          </cell>
          <cell r="I418" t="str">
            <v>солд.</v>
          </cell>
          <cell r="M418" t="str">
            <v>солдат</v>
          </cell>
          <cell r="U418" t="str">
            <v>В строю</v>
          </cell>
          <cell r="AE418" t="str">
            <v>ППД Петропавлівка (літуни)</v>
          </cell>
        </row>
        <row r="419">
          <cell r="B419" t="str">
            <v>Рота безпілотних авіаційних комплексів</v>
          </cell>
          <cell r="I419" t="str">
            <v>Серж.</v>
          </cell>
          <cell r="M419" t="str">
            <v>молодший сержант</v>
          </cell>
          <cell r="U419" t="str">
            <v>В строю</v>
          </cell>
          <cell r="AE419" t="str">
            <v>ППД Самарське (літуни)</v>
          </cell>
        </row>
        <row r="420">
          <cell r="B420" t="str">
            <v>Рота безпілотних авіаційних комплексів</v>
          </cell>
          <cell r="I420" t="str">
            <v>солд.</v>
          </cell>
          <cell r="M420" t="str">
            <v>солдат</v>
          </cell>
          <cell r="U420" t="str">
            <v>Лікування</v>
          </cell>
          <cell r="AE420" t="str">
            <v>Шпиталь</v>
          </cell>
        </row>
        <row r="421">
          <cell r="B421" t="str">
            <v>Рота безпілотних авіаційних комплексів</v>
          </cell>
          <cell r="I421" t="str">
            <v>солд.</v>
          </cell>
          <cell r="M421" t="str">
            <v>солдат</v>
          </cell>
          <cell r="U421" t="str">
            <v>В строю</v>
          </cell>
          <cell r="AE421" t="str">
            <v>На виконанні</v>
          </cell>
        </row>
        <row r="422">
          <cell r="B422" t="str">
            <v>Рота безпілотних авіаційних комплексів</v>
          </cell>
          <cell r="I422" t="str">
            <v>солд.</v>
          </cell>
          <cell r="M422" t="str">
            <v>молодший сержант</v>
          </cell>
          <cell r="U422" t="str">
            <v>В строю</v>
          </cell>
          <cell r="AE422" t="str">
            <v>ППД Шевченко (Петропавлівка (літуни))</v>
          </cell>
        </row>
        <row r="423">
          <cell r="B423" t="str">
            <v>Рота безпілотних авіаційних комплексів</v>
          </cell>
          <cell r="I423" t="str">
            <v>солд.</v>
          </cell>
          <cell r="M423" t="str">
            <v>солдат</v>
          </cell>
          <cell r="U423" t="str">
            <v>В строю</v>
          </cell>
          <cell r="AE423" t="str">
            <v>На виконанні</v>
          </cell>
        </row>
        <row r="424">
          <cell r="B424" t="str">
            <v>Рота безпілотних авіаційних комплексів</v>
          </cell>
          <cell r="I424" t="str">
            <v>Оф.</v>
          </cell>
          <cell r="M424" t="str">
            <v>молодший лейтенант</v>
          </cell>
          <cell r="U424" t="str">
            <v>Відком. за межі ПБ</v>
          </cell>
          <cell r="AE424" t="str">
            <v>Полк</v>
          </cell>
        </row>
        <row r="425">
          <cell r="B425" t="str">
            <v>Рота безпілотних авіаційних комплексів</v>
          </cell>
          <cell r="I425" t="str">
            <v>Серж.</v>
          </cell>
          <cell r="M425" t="str">
            <v>солдат</v>
          </cell>
          <cell r="U425" t="str">
            <v>В строю</v>
          </cell>
          <cell r="AE425" t="str">
            <v>ППД Вишневе</v>
          </cell>
        </row>
        <row r="426">
          <cell r="B426" t="str">
            <v>Рота безпілотних авіаційних комплексів</v>
          </cell>
          <cell r="I426" t="str">
            <v>Серж.</v>
          </cell>
        </row>
        <row r="427">
          <cell r="B427" t="str">
            <v>Рота безпілотних авіаційних комплексів</v>
          </cell>
          <cell r="I427" t="str">
            <v>солд.</v>
          </cell>
          <cell r="M427" t="str">
            <v>солдат</v>
          </cell>
          <cell r="U427" t="str">
            <v>В строю</v>
          </cell>
          <cell r="AE427" t="str">
            <v>ППД Вишневе</v>
          </cell>
        </row>
        <row r="428">
          <cell r="B428" t="str">
            <v>Рота безпілотних авіаційних комплексів</v>
          </cell>
          <cell r="I428" t="str">
            <v>солд.</v>
          </cell>
          <cell r="M428" t="str">
            <v>солдат</v>
          </cell>
          <cell r="U428" t="str">
            <v>В строю</v>
          </cell>
          <cell r="AE428" t="str">
            <v>ЄКЦ Павлоград</v>
          </cell>
        </row>
        <row r="429">
          <cell r="B429" t="str">
            <v>Рота безпілотних авіаційних комплексів</v>
          </cell>
          <cell r="I429" t="str">
            <v>Серж.</v>
          </cell>
          <cell r="M429" t="str">
            <v>солдат</v>
          </cell>
          <cell r="U429" t="str">
            <v>В строю</v>
          </cell>
          <cell r="AE429" t="str">
            <v>ППД Польова</v>
          </cell>
        </row>
        <row r="430">
          <cell r="B430" t="str">
            <v>Рота безпілотних авіаційних комплексів</v>
          </cell>
          <cell r="I430" t="str">
            <v>солд.</v>
          </cell>
          <cell r="M430" t="str">
            <v>солдат</v>
          </cell>
          <cell r="U430" t="str">
            <v>В строю</v>
          </cell>
          <cell r="AE430" t="str">
            <v>ППД Вишневе</v>
          </cell>
        </row>
        <row r="431">
          <cell r="B431" t="str">
            <v>Рота безпілотних авіаційних комплексів</v>
          </cell>
          <cell r="I431" t="str">
            <v>солд.</v>
          </cell>
          <cell r="M431" t="str">
            <v>солдат</v>
          </cell>
          <cell r="U431" t="str">
            <v>В строю</v>
          </cell>
          <cell r="AE431" t="str">
            <v>На виконанні</v>
          </cell>
        </row>
        <row r="432">
          <cell r="B432" t="str">
            <v>Рота безпілотних авіаційних комплексів</v>
          </cell>
          <cell r="I432" t="str">
            <v>солд.</v>
          </cell>
          <cell r="M432" t="str">
            <v>солдат</v>
          </cell>
          <cell r="U432" t="str">
            <v>В строю</v>
          </cell>
          <cell r="AE432" t="str">
            <v>ППД Слов'янка (13-й)</v>
          </cell>
        </row>
        <row r="433">
          <cell r="B433" t="str">
            <v>Рота безпілотних авіаційних комплексів</v>
          </cell>
          <cell r="I433" t="str">
            <v>Серж.</v>
          </cell>
          <cell r="M433" t="str">
            <v>солдат</v>
          </cell>
          <cell r="U433" t="str">
            <v>В строю</v>
          </cell>
          <cell r="AE433" t="str">
            <v>ППД Шевченко (Петропавлівка (літуни))</v>
          </cell>
        </row>
        <row r="434">
          <cell r="B434" t="str">
            <v>Рота безпілотних авіаційних комплексів</v>
          </cell>
          <cell r="I434" t="str">
            <v>солд.</v>
          </cell>
          <cell r="M434" t="str">
            <v>солдат</v>
          </cell>
          <cell r="U434" t="str">
            <v>Лікування</v>
          </cell>
          <cell r="AE434" t="str">
            <v>Шпиталь</v>
          </cell>
        </row>
        <row r="435">
          <cell r="B435" t="str">
            <v>Рота безпілотних авіаційних комплексів</v>
          </cell>
          <cell r="I435" t="str">
            <v>солд.</v>
          </cell>
          <cell r="M435" t="str">
            <v>солдат</v>
          </cell>
          <cell r="U435" t="str">
            <v>В строю</v>
          </cell>
          <cell r="AE435" t="str">
            <v>На виконанні</v>
          </cell>
        </row>
        <row r="436">
          <cell r="B436" t="str">
            <v>Рота безпілотних авіаційних комплексів</v>
          </cell>
          <cell r="I436" t="str">
            <v>Серж.</v>
          </cell>
          <cell r="M436" t="str">
            <v>молодший сержант</v>
          </cell>
          <cell r="U436" t="str">
            <v>В строю</v>
          </cell>
          <cell r="AE436" t="str">
            <v>На виконанні</v>
          </cell>
        </row>
        <row r="437">
          <cell r="B437" t="str">
            <v>Рота безпілотних авіаційних комплексів</v>
          </cell>
          <cell r="I437" t="str">
            <v>солд.</v>
          </cell>
          <cell r="M437" t="str">
            <v>солдат</v>
          </cell>
          <cell r="U437" t="str">
            <v>В строю</v>
          </cell>
          <cell r="AE437" t="str">
            <v>ППД Петропавлівка (літуни)</v>
          </cell>
        </row>
        <row r="438">
          <cell r="B438" t="str">
            <v>Рота безпілотних авіаційних комплексів</v>
          </cell>
          <cell r="I438" t="str">
            <v>солд.</v>
          </cell>
          <cell r="M438" t="str">
            <v>солдат</v>
          </cell>
          <cell r="U438" t="str">
            <v>В строю</v>
          </cell>
          <cell r="AE438" t="str">
            <v>ППД Польова</v>
          </cell>
        </row>
        <row r="439">
          <cell r="B439" t="str">
            <v>Рота безпілотних авіаційних комплексів</v>
          </cell>
          <cell r="I439" t="str">
            <v>Серж.</v>
          </cell>
          <cell r="M439" t="str">
            <v>солдат</v>
          </cell>
          <cell r="U439" t="str">
            <v>В строю</v>
          </cell>
          <cell r="AE439" t="str">
            <v>ППД Петропавлівка (літуни)</v>
          </cell>
        </row>
        <row r="440">
          <cell r="B440" t="str">
            <v>Рота безпілотних авіаційних комплексів</v>
          </cell>
          <cell r="I440" t="str">
            <v>солд.</v>
          </cell>
        </row>
        <row r="441">
          <cell r="B441" t="str">
            <v>Рота безпілотних авіаційних комплексів</v>
          </cell>
          <cell r="I441" t="str">
            <v>солд.</v>
          </cell>
          <cell r="M441" t="str">
            <v>солдат</v>
          </cell>
          <cell r="U441" t="str">
            <v>В строю</v>
          </cell>
          <cell r="AE441" t="str">
            <v>На виконанні</v>
          </cell>
        </row>
        <row r="442">
          <cell r="B442" t="str">
            <v>Рота безпілотних авіаційних комплексів</v>
          </cell>
          <cell r="I442" t="str">
            <v>Серж.</v>
          </cell>
        </row>
        <row r="443">
          <cell r="B443" t="str">
            <v>Рота безпілотних авіаційних комплексів</v>
          </cell>
          <cell r="I443" t="str">
            <v>солд.</v>
          </cell>
          <cell r="M443" t="str">
            <v>солдат</v>
          </cell>
          <cell r="U443" t="str">
            <v>В строю</v>
          </cell>
          <cell r="AE443" t="str">
            <v>На виконанні</v>
          </cell>
        </row>
        <row r="444">
          <cell r="B444" t="str">
            <v>Рота безпілотних авіаційних комплексів</v>
          </cell>
          <cell r="I444" t="str">
            <v>солд.</v>
          </cell>
          <cell r="M444" t="str">
            <v>солдат</v>
          </cell>
          <cell r="U444" t="str">
            <v>В строю</v>
          </cell>
          <cell r="AE444" t="str">
            <v>ППД Петропавлівка (літуни)</v>
          </cell>
        </row>
        <row r="445">
          <cell r="B445" t="str">
            <v>Рота безпілотних авіаційних комплексів</v>
          </cell>
          <cell r="I445" t="str">
            <v>Серж.</v>
          </cell>
          <cell r="M445" t="str">
            <v>солдат</v>
          </cell>
          <cell r="U445" t="str">
            <v>В строю</v>
          </cell>
          <cell r="AE445" t="str">
            <v>На виконанні</v>
          </cell>
        </row>
        <row r="446">
          <cell r="B446" t="str">
            <v>Рота безпілотних авіаційних комплексів</v>
          </cell>
          <cell r="I446" t="str">
            <v>солд.</v>
          </cell>
          <cell r="M446" t="str">
            <v>молодший сержант</v>
          </cell>
          <cell r="U446" t="str">
            <v>В строю</v>
          </cell>
          <cell r="AE446" t="str">
            <v>ППД Петропавлівка (літуни)</v>
          </cell>
        </row>
        <row r="447">
          <cell r="B447" t="str">
            <v>Рота безпілотних авіаційних комплексів</v>
          </cell>
          <cell r="I447" t="str">
            <v>солд.</v>
          </cell>
          <cell r="M447" t="str">
            <v>солдат</v>
          </cell>
          <cell r="U447" t="str">
            <v>В строю</v>
          </cell>
          <cell r="AE447" t="str">
            <v>На виконанні</v>
          </cell>
        </row>
        <row r="448">
          <cell r="B448" t="str">
            <v>Рота безпілотних авіаційних комплексів</v>
          </cell>
          <cell r="I448" t="str">
            <v>Серж.</v>
          </cell>
          <cell r="M448" t="str">
            <v>солдат</v>
          </cell>
          <cell r="U448" t="str">
            <v>В строю</v>
          </cell>
          <cell r="AE448" t="str">
            <v>ППД Петропавлівка (літуни)</v>
          </cell>
        </row>
        <row r="449">
          <cell r="B449" t="str">
            <v>Рота безпілотних авіаційних комплексів</v>
          </cell>
          <cell r="I449" t="str">
            <v>солд.</v>
          </cell>
          <cell r="M449" t="str">
            <v>солдат</v>
          </cell>
          <cell r="U449" t="str">
            <v>Відрядження</v>
          </cell>
          <cell r="AE449" t="str">
            <v>Полк</v>
          </cell>
        </row>
        <row r="450">
          <cell r="B450" t="str">
            <v>Рота безпілотних авіаційних комплексів</v>
          </cell>
          <cell r="I450" t="str">
            <v>солд.</v>
          </cell>
          <cell r="M450" t="str">
            <v>солдат</v>
          </cell>
          <cell r="U450" t="str">
            <v>В строю</v>
          </cell>
          <cell r="AE450" t="str">
            <v>ППД Вишневе</v>
          </cell>
        </row>
        <row r="451">
          <cell r="B451" t="str">
            <v>Рота безпілотних авіаційних комплексів</v>
          </cell>
          <cell r="I451" t="str">
            <v>Серж.</v>
          </cell>
          <cell r="M451" t="str">
            <v>молодший сержант</v>
          </cell>
          <cell r="U451" t="str">
            <v>В строю</v>
          </cell>
          <cell r="AE451" t="str">
            <v>ППД Петропавлівка (літуни)</v>
          </cell>
        </row>
        <row r="452">
          <cell r="B452" t="str">
            <v>Рота безпілотних авіаційних комплексів</v>
          </cell>
          <cell r="I452" t="str">
            <v>солд.</v>
          </cell>
          <cell r="M452" t="str">
            <v>солдат</v>
          </cell>
          <cell r="U452" t="str">
            <v>В строю</v>
          </cell>
          <cell r="AE452" t="str">
            <v>На виконанні</v>
          </cell>
        </row>
        <row r="453">
          <cell r="B453" t="str">
            <v>Рота безпілотних авіаційних комплексів</v>
          </cell>
          <cell r="I453" t="str">
            <v>солд.</v>
          </cell>
          <cell r="M453" t="str">
            <v>солдат</v>
          </cell>
          <cell r="U453" t="str">
            <v>В строю</v>
          </cell>
          <cell r="AE453" t="str">
            <v>ППД Лугова (літуни)</v>
          </cell>
        </row>
        <row r="454">
          <cell r="B454" t="str">
            <v>Рота безпілотних авіаційних комплексів</v>
          </cell>
          <cell r="I454" t="str">
            <v>Серж.</v>
          </cell>
          <cell r="M454" t="str">
            <v>молодший сержант</v>
          </cell>
          <cell r="U454" t="str">
            <v>В строю</v>
          </cell>
          <cell r="AE454" t="str">
            <v>ППД Самарське (літуни)</v>
          </cell>
        </row>
        <row r="455">
          <cell r="B455" t="str">
            <v>Рота безпілотних авіаційних комплексів</v>
          </cell>
          <cell r="I455" t="str">
            <v>солд.</v>
          </cell>
          <cell r="M455" t="str">
            <v>солдат</v>
          </cell>
          <cell r="U455" t="str">
            <v>Лікування</v>
          </cell>
          <cell r="AE455" t="str">
            <v>Шпиталь</v>
          </cell>
        </row>
        <row r="456">
          <cell r="B456" t="str">
            <v>Рота безпілотних авіаційних комплексів</v>
          </cell>
          <cell r="I456" t="str">
            <v>солд.</v>
          </cell>
          <cell r="M456" t="str">
            <v>солдат</v>
          </cell>
          <cell r="U456" t="str">
            <v>В строю</v>
          </cell>
          <cell r="AE456" t="str">
            <v>ППД Лугова (літуни)</v>
          </cell>
        </row>
        <row r="457">
          <cell r="B457" t="str">
            <v>Рота безпілотних авіаційних комплексів</v>
          </cell>
          <cell r="I457" t="str">
            <v>Серж.</v>
          </cell>
          <cell r="M457" t="str">
            <v>солдат</v>
          </cell>
          <cell r="U457" t="str">
            <v>В строю</v>
          </cell>
          <cell r="AE457" t="str">
            <v>ППД Петропавлівка (літуни)</v>
          </cell>
        </row>
        <row r="458">
          <cell r="B458" t="str">
            <v>Рота безпілотних авіаційних комплексів</v>
          </cell>
          <cell r="I458" t="str">
            <v>солд.</v>
          </cell>
          <cell r="M458" t="str">
            <v>солдат</v>
          </cell>
          <cell r="U458" t="str">
            <v>В строю</v>
          </cell>
          <cell r="AE458" t="str">
            <v>На виконанні</v>
          </cell>
        </row>
        <row r="459">
          <cell r="B459" t="str">
            <v>Рота безпілотних авіаційних комплексів</v>
          </cell>
          <cell r="I459" t="str">
            <v>солд.</v>
          </cell>
          <cell r="M459" t="str">
            <v>солдат</v>
          </cell>
          <cell r="U459" t="str">
            <v>В строю</v>
          </cell>
          <cell r="AE459" t="str">
            <v>На виконанні</v>
          </cell>
        </row>
        <row r="460">
          <cell r="B460" t="str">
            <v>Гранатометний взвод</v>
          </cell>
          <cell r="I460" t="str">
            <v>Оф.</v>
          </cell>
          <cell r="M460" t="str">
            <v>лейтенант</v>
          </cell>
          <cell r="U460" t="str">
            <v>Лікування</v>
          </cell>
          <cell r="AE460" t="str">
            <v>Шпиталь</v>
          </cell>
        </row>
        <row r="461">
          <cell r="B461" t="str">
            <v>Гранатометний взвод</v>
          </cell>
          <cell r="I461" t="str">
            <v>Серж.</v>
          </cell>
        </row>
        <row r="462">
          <cell r="B462" t="str">
            <v>Гранатометний взвод</v>
          </cell>
          <cell r="I462" t="str">
            <v>Серж.</v>
          </cell>
          <cell r="M462" t="str">
            <v>молодший сержант</v>
          </cell>
          <cell r="U462" t="str">
            <v>В строю</v>
          </cell>
          <cell r="AE462" t="str">
            <v>КСП Павлоград</v>
          </cell>
        </row>
        <row r="463">
          <cell r="B463" t="str">
            <v>Гранатометний взвод</v>
          </cell>
          <cell r="I463" t="str">
            <v>Серж.</v>
          </cell>
          <cell r="M463" t="str">
            <v>старший сержант</v>
          </cell>
          <cell r="U463" t="str">
            <v>В строю</v>
          </cell>
          <cell r="AE463" t="str">
            <v>ППД Вишневе</v>
          </cell>
        </row>
        <row r="464">
          <cell r="B464" t="str">
            <v>Гранатометний взвод</v>
          </cell>
          <cell r="I464" t="str">
            <v>солд.</v>
          </cell>
          <cell r="M464" t="str">
            <v>солдат</v>
          </cell>
          <cell r="U464" t="str">
            <v>Лікування</v>
          </cell>
          <cell r="AE464" t="str">
            <v>Шпиталь</v>
          </cell>
        </row>
        <row r="465">
          <cell r="B465" t="str">
            <v>Гранатометний взвод</v>
          </cell>
          <cell r="I465" t="str">
            <v>солд.</v>
          </cell>
          <cell r="M465" t="str">
            <v>солдат</v>
          </cell>
          <cell r="U465" t="str">
            <v>В строю</v>
          </cell>
          <cell r="AE465" t="str">
            <v>ППД Слов'янка (13-й)</v>
          </cell>
        </row>
        <row r="466">
          <cell r="B466" t="str">
            <v>Гранатометний взвод</v>
          </cell>
          <cell r="I466" t="str">
            <v>солд.</v>
          </cell>
          <cell r="M466" t="str">
            <v>солдат</v>
          </cell>
          <cell r="U466" t="str">
            <v>В строю</v>
          </cell>
          <cell r="AE466" t="str">
            <v>ППД Вишневе</v>
          </cell>
        </row>
        <row r="467">
          <cell r="B467" t="str">
            <v>Гранатометний взвод</v>
          </cell>
          <cell r="I467" t="str">
            <v>солд.</v>
          </cell>
          <cell r="M467" t="str">
            <v>солдат</v>
          </cell>
          <cell r="U467" t="str">
            <v>В строю</v>
          </cell>
          <cell r="AE467" t="str">
            <v>На виконанні</v>
          </cell>
        </row>
        <row r="468">
          <cell r="B468" t="str">
            <v>Гранатометний взвод</v>
          </cell>
          <cell r="I468" t="str">
            <v>солд.</v>
          </cell>
          <cell r="M468" t="str">
            <v>солдат</v>
          </cell>
          <cell r="U468" t="str">
            <v>В строю</v>
          </cell>
          <cell r="AE468" t="str">
            <v>На виконанні</v>
          </cell>
        </row>
        <row r="469">
          <cell r="B469" t="str">
            <v>Гранатометний взвод</v>
          </cell>
          <cell r="I469" t="str">
            <v>солд.</v>
          </cell>
          <cell r="M469" t="str">
            <v>молодший сержант</v>
          </cell>
          <cell r="U469" t="str">
            <v>В строю</v>
          </cell>
          <cell r="AE469" t="str">
            <v>ППД Слов'янка (техніка)</v>
          </cell>
        </row>
        <row r="470">
          <cell r="B470" t="str">
            <v>Гранатометний взвод</v>
          </cell>
          <cell r="I470" t="str">
            <v>солд.</v>
          </cell>
          <cell r="M470" t="str">
            <v>солдат</v>
          </cell>
          <cell r="U470" t="str">
            <v>Зниклі безвісти</v>
          </cell>
        </row>
        <row r="471">
          <cell r="B471" t="str">
            <v>Гранатометний взвод</v>
          </cell>
          <cell r="I471" t="str">
            <v>солд.</v>
          </cell>
          <cell r="M471" t="str">
            <v>солдат</v>
          </cell>
          <cell r="U471" t="str">
            <v>В строю</v>
          </cell>
          <cell r="AE471" t="str">
            <v>ППД Вишневе</v>
          </cell>
        </row>
        <row r="472">
          <cell r="B472" t="str">
            <v>Гранатометний взвод</v>
          </cell>
          <cell r="I472" t="str">
            <v>солд.</v>
          </cell>
          <cell r="M472" t="str">
            <v>солдат</v>
          </cell>
          <cell r="U472" t="str">
            <v>В строю</v>
          </cell>
          <cell r="AE472" t="str">
            <v>ППД Вишневе</v>
          </cell>
        </row>
        <row r="473">
          <cell r="B473" t="str">
            <v>Гранатометний взвод</v>
          </cell>
          <cell r="I473" t="str">
            <v>солд.</v>
          </cell>
          <cell r="M473" t="str">
            <v>солдат</v>
          </cell>
          <cell r="U473" t="str">
            <v>В строю</v>
          </cell>
          <cell r="AE473" t="str">
            <v>ППД Вишневе</v>
          </cell>
        </row>
        <row r="474">
          <cell r="B474" t="str">
            <v>Гранатометний взвод</v>
          </cell>
          <cell r="I474" t="str">
            <v>солд.</v>
          </cell>
          <cell r="M474" t="str">
            <v>солдат</v>
          </cell>
          <cell r="U474" t="str">
            <v>Лікування</v>
          </cell>
          <cell r="AE474" t="str">
            <v>Шпиталь</v>
          </cell>
        </row>
        <row r="475">
          <cell r="B475" t="str">
            <v>Гранатометний взвод</v>
          </cell>
          <cell r="I475" t="str">
            <v>солд.</v>
          </cell>
          <cell r="M475" t="str">
            <v>рядовий</v>
          </cell>
          <cell r="U475" t="str">
            <v>В строю</v>
          </cell>
          <cell r="AE475" t="str">
            <v>КСП Павлоград</v>
          </cell>
        </row>
        <row r="476">
          <cell r="B476" t="str">
            <v>Гранатометний взвод</v>
          </cell>
          <cell r="I476" t="str">
            <v>солд.</v>
          </cell>
          <cell r="M476" t="str">
            <v>солдат</v>
          </cell>
          <cell r="U476" t="str">
            <v>В строю</v>
          </cell>
          <cell r="AE476" t="str">
            <v>ППД Вишневе</v>
          </cell>
        </row>
        <row r="477">
          <cell r="B477" t="str">
            <v>Гранатометний взвод</v>
          </cell>
          <cell r="I477" t="str">
            <v>солд.</v>
          </cell>
          <cell r="M477" t="str">
            <v>солдат</v>
          </cell>
          <cell r="U477" t="str">
            <v>В строю</v>
          </cell>
          <cell r="AE477" t="str">
            <v>КСП Павлоград</v>
          </cell>
        </row>
        <row r="478">
          <cell r="B478" t="str">
            <v>Гранатометний взвод</v>
          </cell>
          <cell r="I478" t="str">
            <v>солд.</v>
          </cell>
          <cell r="M478" t="str">
            <v>солдат</v>
          </cell>
          <cell r="U478" t="str">
            <v>Лікування</v>
          </cell>
          <cell r="AE478" t="str">
            <v>Шпиталь</v>
          </cell>
        </row>
        <row r="479">
          <cell r="B479" t="str">
            <v>Гранатометний взвод</v>
          </cell>
          <cell r="I479" t="str">
            <v>солд.</v>
          </cell>
          <cell r="M479" t="str">
            <v>солдат</v>
          </cell>
          <cell r="U479" t="str">
            <v>В строю</v>
          </cell>
          <cell r="AE479" t="str">
            <v>ППД Вишневе</v>
          </cell>
        </row>
        <row r="480">
          <cell r="B480" t="str">
            <v>Гранатометний взвод</v>
          </cell>
          <cell r="I480" t="str">
            <v>солд.</v>
          </cell>
          <cell r="M480" t="str">
            <v>солдат</v>
          </cell>
          <cell r="U480" t="str">
            <v>Лікування</v>
          </cell>
          <cell r="AE480" t="str">
            <v>Відпустка лікув.</v>
          </cell>
        </row>
        <row r="481">
          <cell r="B481" t="str">
            <v>Гранатометний взвод</v>
          </cell>
          <cell r="I481" t="str">
            <v>солд.</v>
          </cell>
          <cell r="M481" t="str">
            <v>солдат</v>
          </cell>
          <cell r="U481" t="str">
            <v>В строю</v>
          </cell>
          <cell r="AE481" t="str">
            <v>На виконанні</v>
          </cell>
        </row>
        <row r="482">
          <cell r="B482" t="str">
            <v>Мінометний взвод</v>
          </cell>
          <cell r="I482" t="str">
            <v>Оф.</v>
          </cell>
          <cell r="M482" t="str">
            <v>старший лейтенант</v>
          </cell>
          <cell r="U482" t="str">
            <v>Відком. за межі ПБ</v>
          </cell>
          <cell r="AE482" t="str">
            <v>Полк</v>
          </cell>
        </row>
        <row r="483">
          <cell r="B483" t="str">
            <v>Мінометний взвод</v>
          </cell>
          <cell r="I483" t="str">
            <v>Серж.</v>
          </cell>
        </row>
        <row r="484">
          <cell r="B484" t="str">
            <v>Мінометний взвод</v>
          </cell>
          <cell r="I484" t="str">
            <v>Серж.</v>
          </cell>
          <cell r="M484" t="str">
            <v>молодший сержант</v>
          </cell>
          <cell r="U484" t="str">
            <v>В строю</v>
          </cell>
          <cell r="AE484" t="str">
            <v>ППД Вишневе</v>
          </cell>
        </row>
        <row r="485">
          <cell r="B485" t="str">
            <v>Мінометний взвод</v>
          </cell>
          <cell r="I485" t="str">
            <v>Серж.</v>
          </cell>
        </row>
        <row r="486">
          <cell r="B486" t="str">
            <v>Мінометний взвод</v>
          </cell>
          <cell r="I486" t="str">
            <v>Серж.</v>
          </cell>
          <cell r="M486" t="str">
            <v>молодший сержант</v>
          </cell>
          <cell r="U486" t="str">
            <v>Відком. за межі ПБ</v>
          </cell>
          <cell r="AE486" t="str">
            <v>Полк</v>
          </cell>
        </row>
        <row r="487">
          <cell r="B487" t="str">
            <v>Мінометний взвод</v>
          </cell>
          <cell r="I487" t="str">
            <v>солд.</v>
          </cell>
          <cell r="M487" t="str">
            <v>рядовий</v>
          </cell>
          <cell r="U487" t="str">
            <v>В строю</v>
          </cell>
          <cell r="AE487" t="str">
            <v>ППД Вишневе</v>
          </cell>
        </row>
        <row r="488">
          <cell r="B488" t="str">
            <v>Мінометний взвод</v>
          </cell>
          <cell r="I488" t="str">
            <v>солд.</v>
          </cell>
          <cell r="M488" t="str">
            <v>солдат</v>
          </cell>
          <cell r="U488" t="str">
            <v>Лікування</v>
          </cell>
          <cell r="AE488" t="str">
            <v>Шпиталь</v>
          </cell>
        </row>
        <row r="489">
          <cell r="B489" t="str">
            <v>Мінометний взвод</v>
          </cell>
          <cell r="I489" t="str">
            <v>солд.</v>
          </cell>
          <cell r="M489" t="str">
            <v>старший солдат</v>
          </cell>
          <cell r="U489" t="str">
            <v>В строю</v>
          </cell>
          <cell r="AE489" t="str">
            <v>ППД Вишневе</v>
          </cell>
        </row>
        <row r="490">
          <cell r="B490" t="str">
            <v>Мінометний взвод</v>
          </cell>
          <cell r="I490" t="str">
            <v>солд.</v>
          </cell>
          <cell r="M490" t="str">
            <v>солдат</v>
          </cell>
          <cell r="U490" t="str">
            <v>В строю</v>
          </cell>
          <cell r="AE490" t="str">
            <v>ППД Вишневе</v>
          </cell>
        </row>
        <row r="491">
          <cell r="B491" t="str">
            <v>Мінометний взвод</v>
          </cell>
          <cell r="I491" t="str">
            <v>солд.</v>
          </cell>
          <cell r="M491" t="str">
            <v>рядовий</v>
          </cell>
          <cell r="U491" t="str">
            <v>В строю</v>
          </cell>
          <cell r="AE491" t="str">
            <v>На виконанні</v>
          </cell>
        </row>
        <row r="492">
          <cell r="B492" t="str">
            <v>Мінометний взвод</v>
          </cell>
          <cell r="I492" t="str">
            <v>солд.</v>
          </cell>
          <cell r="M492" t="str">
            <v>солдат</v>
          </cell>
          <cell r="U492" t="str">
            <v>Зниклі безвісти</v>
          </cell>
        </row>
        <row r="493">
          <cell r="B493" t="str">
            <v>Мінометний взвод</v>
          </cell>
          <cell r="I493" t="str">
            <v>солд.</v>
          </cell>
          <cell r="M493" t="str">
            <v>солдат</v>
          </cell>
          <cell r="U493" t="str">
            <v>В строю</v>
          </cell>
          <cell r="AE493" t="str">
            <v>ППД Слов'янка (13-й)</v>
          </cell>
        </row>
        <row r="494">
          <cell r="B494" t="str">
            <v>Мінометний взвод</v>
          </cell>
          <cell r="I494" t="str">
            <v>солд.</v>
          </cell>
          <cell r="M494" t="str">
            <v>солдат</v>
          </cell>
          <cell r="U494" t="str">
            <v>В строю</v>
          </cell>
          <cell r="AE494" t="str">
            <v>ППД Вишневе</v>
          </cell>
        </row>
        <row r="495">
          <cell r="B495" t="str">
            <v>Мінометний взвод</v>
          </cell>
          <cell r="I495" t="str">
            <v>солд.</v>
          </cell>
        </row>
        <row r="496">
          <cell r="B496" t="str">
            <v>Мінометний взвод</v>
          </cell>
          <cell r="I496" t="str">
            <v>солд.</v>
          </cell>
          <cell r="M496" t="str">
            <v>солдат</v>
          </cell>
          <cell r="U496" t="str">
            <v>В строю</v>
          </cell>
          <cell r="AE496" t="str">
            <v>ППД Вишневе</v>
          </cell>
        </row>
        <row r="497">
          <cell r="B497" t="str">
            <v>Мінометний взвод</v>
          </cell>
          <cell r="I497" t="str">
            <v>солд.</v>
          </cell>
          <cell r="M497" t="str">
            <v>солдат</v>
          </cell>
          <cell r="U497" t="str">
            <v>В строю</v>
          </cell>
          <cell r="AE497" t="str">
            <v>ППД Вишневе</v>
          </cell>
        </row>
        <row r="498">
          <cell r="B498" t="str">
            <v>Мінометний взвод</v>
          </cell>
          <cell r="I498" t="str">
            <v>солд.</v>
          </cell>
          <cell r="M498" t="str">
            <v>солдат</v>
          </cell>
          <cell r="U498" t="str">
            <v>В строю</v>
          </cell>
          <cell r="AE498" t="str">
            <v>ППД Слов'янка (13-й)</v>
          </cell>
        </row>
        <row r="499">
          <cell r="B499" t="str">
            <v>Мінометний взвод</v>
          </cell>
          <cell r="I499" t="str">
            <v>солд.</v>
          </cell>
          <cell r="M499" t="str">
            <v>солдат</v>
          </cell>
          <cell r="U499" t="str">
            <v>Лікування</v>
          </cell>
          <cell r="AE499" t="str">
            <v>Шпиталь</v>
          </cell>
        </row>
        <row r="500">
          <cell r="B500" t="str">
            <v>Мінометний взвод</v>
          </cell>
          <cell r="I500" t="str">
            <v>солд.</v>
          </cell>
          <cell r="M500" t="str">
            <v>солдат</v>
          </cell>
          <cell r="U500" t="str">
            <v>Лікування</v>
          </cell>
          <cell r="AE500" t="str">
            <v>Відпустка лікув.</v>
          </cell>
        </row>
        <row r="501">
          <cell r="B501" t="str">
            <v>Мінометний взвод</v>
          </cell>
          <cell r="I501" t="str">
            <v>солд.</v>
          </cell>
          <cell r="M501" t="str">
            <v>солдат</v>
          </cell>
          <cell r="U501" t="str">
            <v>Лікування</v>
          </cell>
          <cell r="AE501" t="str">
            <v>Шпиталь</v>
          </cell>
        </row>
        <row r="502">
          <cell r="B502" t="str">
            <v>Кулеметний взвод</v>
          </cell>
          <cell r="I502" t="str">
            <v>Оф.</v>
          </cell>
          <cell r="M502" t="str">
            <v>старший лейтенант</v>
          </cell>
          <cell r="U502" t="str">
            <v>В строю</v>
          </cell>
          <cell r="AE502" t="str">
            <v>ППД Польова</v>
          </cell>
        </row>
        <row r="503">
          <cell r="B503" t="str">
            <v>Кулеметний взвод</v>
          </cell>
          <cell r="I503" t="str">
            <v>Серж.</v>
          </cell>
          <cell r="M503" t="str">
            <v>солдат</v>
          </cell>
          <cell r="U503" t="str">
            <v>Лікування</v>
          </cell>
          <cell r="AE503" t="str">
            <v>Шпиталь</v>
          </cell>
        </row>
        <row r="504">
          <cell r="B504" t="str">
            <v>Кулеметний взвод</v>
          </cell>
          <cell r="I504" t="str">
            <v>Серж.</v>
          </cell>
          <cell r="M504" t="str">
            <v>солдат</v>
          </cell>
          <cell r="U504" t="str">
            <v>В строю</v>
          </cell>
          <cell r="AE504" t="str">
            <v>На виконанні</v>
          </cell>
        </row>
        <row r="505">
          <cell r="B505" t="str">
            <v>Кулеметний взвод</v>
          </cell>
          <cell r="I505" t="str">
            <v>солд.</v>
          </cell>
          <cell r="M505" t="str">
            <v>солдат</v>
          </cell>
          <cell r="U505" t="str">
            <v>В строю</v>
          </cell>
          <cell r="AE505" t="str">
            <v>ППД Вишневе</v>
          </cell>
        </row>
        <row r="506">
          <cell r="B506" t="str">
            <v>Кулеметний взвод</v>
          </cell>
          <cell r="I506" t="str">
            <v>солд.</v>
          </cell>
          <cell r="M506" t="str">
            <v>солдат</v>
          </cell>
          <cell r="U506" t="str">
            <v>В строю</v>
          </cell>
          <cell r="AE506" t="str">
            <v>ППД Слов'янка (13-й)</v>
          </cell>
        </row>
        <row r="507">
          <cell r="B507" t="str">
            <v>Кулеметний взвод</v>
          </cell>
          <cell r="I507" t="str">
            <v>солд.</v>
          </cell>
        </row>
        <row r="508">
          <cell r="B508" t="str">
            <v>Кулеметний взвод</v>
          </cell>
          <cell r="I508" t="str">
            <v>солд.</v>
          </cell>
        </row>
        <row r="509">
          <cell r="B509" t="str">
            <v>Кулеметний взвод</v>
          </cell>
          <cell r="I509" t="str">
            <v>солд.</v>
          </cell>
          <cell r="M509" t="str">
            <v>солдат</v>
          </cell>
          <cell r="U509" t="str">
            <v>Лікування</v>
          </cell>
          <cell r="AE509" t="str">
            <v>Мед. рота</v>
          </cell>
        </row>
        <row r="510">
          <cell r="B510" t="str">
            <v>Кулеметний взвод</v>
          </cell>
          <cell r="I510" t="str">
            <v>солд.</v>
          </cell>
          <cell r="M510" t="str">
            <v>солдат</v>
          </cell>
          <cell r="U510" t="str">
            <v>В строю</v>
          </cell>
          <cell r="AE510" t="str">
            <v>ППД Вишневе</v>
          </cell>
        </row>
        <row r="511">
          <cell r="B511" t="str">
            <v>Кулеметний взвод</v>
          </cell>
          <cell r="I511" t="str">
            <v>солд.</v>
          </cell>
          <cell r="M511" t="str">
            <v>солдат</v>
          </cell>
          <cell r="U511" t="str">
            <v>Лікування</v>
          </cell>
          <cell r="AE511" t="str">
            <v>Мед. рота</v>
          </cell>
        </row>
        <row r="512">
          <cell r="B512" t="str">
            <v>Кулеметний взвод</v>
          </cell>
          <cell r="I512" t="str">
            <v>солд.</v>
          </cell>
          <cell r="M512" t="str">
            <v>солдат</v>
          </cell>
          <cell r="U512" t="str">
            <v>В строю</v>
          </cell>
          <cell r="AE512" t="str">
            <v>ППД Слов'янка (13-й)</v>
          </cell>
        </row>
        <row r="513">
          <cell r="B513" t="str">
            <v>Кулеметний взвод</v>
          </cell>
          <cell r="I513" t="str">
            <v>солд.</v>
          </cell>
          <cell r="M513" t="str">
            <v>солдат</v>
          </cell>
          <cell r="U513" t="str">
            <v>В строю</v>
          </cell>
          <cell r="AE513" t="str">
            <v>ППД Вишневе</v>
          </cell>
        </row>
        <row r="514">
          <cell r="B514" t="str">
            <v>Кулеметний взвод</v>
          </cell>
          <cell r="I514" t="str">
            <v>солд.</v>
          </cell>
          <cell r="M514" t="str">
            <v>солдат</v>
          </cell>
          <cell r="U514" t="str">
            <v>В строю</v>
          </cell>
          <cell r="AE514" t="str">
            <v>ППД Вишневе</v>
          </cell>
        </row>
        <row r="515">
          <cell r="B515" t="str">
            <v>Кулеметний взвод</v>
          </cell>
          <cell r="I515" t="str">
            <v>солд.</v>
          </cell>
          <cell r="M515" t="str">
            <v>солдат</v>
          </cell>
          <cell r="U515" t="str">
            <v>В строю</v>
          </cell>
          <cell r="AE515" t="str">
            <v>На виконанні</v>
          </cell>
        </row>
        <row r="516">
          <cell r="B516" t="str">
            <v>Кулеметний взвод</v>
          </cell>
          <cell r="I516" t="str">
            <v>солд.</v>
          </cell>
          <cell r="M516" t="str">
            <v>солдат</v>
          </cell>
          <cell r="U516" t="str">
            <v>В строю</v>
          </cell>
          <cell r="AE516" t="str">
            <v>ППД Вишневе</v>
          </cell>
        </row>
        <row r="517">
          <cell r="B517" t="str">
            <v>Кулеметний взвод</v>
          </cell>
          <cell r="I517" t="str">
            <v>солд.</v>
          </cell>
          <cell r="M517" t="str">
            <v>солдат</v>
          </cell>
          <cell r="U517" t="str">
            <v>В строю</v>
          </cell>
          <cell r="AE517" t="str">
            <v>ППД Слов'янка (13-й)</v>
          </cell>
        </row>
        <row r="518">
          <cell r="B518" t="str">
            <v>Кулеметний взвод</v>
          </cell>
          <cell r="I518" t="str">
            <v>солд.</v>
          </cell>
          <cell r="M518" t="str">
            <v>солдат</v>
          </cell>
          <cell r="U518" t="str">
            <v>Лікування</v>
          </cell>
          <cell r="AE518" t="str">
            <v>Шпиталь</v>
          </cell>
        </row>
        <row r="519">
          <cell r="B519" t="str">
            <v>Кулеметний взвод</v>
          </cell>
          <cell r="I519" t="str">
            <v>солд.</v>
          </cell>
          <cell r="M519" t="str">
            <v>солдат</v>
          </cell>
          <cell r="U519" t="str">
            <v>Зниклі безвісти</v>
          </cell>
        </row>
        <row r="520">
          <cell r="B520" t="str">
            <v>Кулеметний взвод</v>
          </cell>
          <cell r="I520" t="str">
            <v>солд.</v>
          </cell>
          <cell r="M520" t="str">
            <v>солдат</v>
          </cell>
          <cell r="U520" t="str">
            <v>В строю</v>
          </cell>
          <cell r="AE520" t="str">
            <v>На виконанні</v>
          </cell>
        </row>
        <row r="521">
          <cell r="B521" t="str">
            <v>Кулеметний взвод</v>
          </cell>
          <cell r="I521" t="str">
            <v>солд.</v>
          </cell>
          <cell r="M521" t="str">
            <v>солдат</v>
          </cell>
          <cell r="U521" t="str">
            <v>В строю</v>
          </cell>
          <cell r="AE521" t="str">
            <v>ППД Вишневе</v>
          </cell>
        </row>
        <row r="522">
          <cell r="B522" t="str">
            <v>Кулеметний взвод</v>
          </cell>
          <cell r="I522" t="str">
            <v>солд.</v>
          </cell>
          <cell r="M522" t="str">
            <v>молодший сержант</v>
          </cell>
          <cell r="U522" t="str">
            <v>В строю</v>
          </cell>
          <cell r="AE522" t="str">
            <v>На виконанні</v>
          </cell>
        </row>
        <row r="523">
          <cell r="B523" t="str">
            <v>Кулеметний взвод</v>
          </cell>
          <cell r="I523" t="str">
            <v>солд.</v>
          </cell>
          <cell r="M523" t="str">
            <v>солдат</v>
          </cell>
          <cell r="U523" t="str">
            <v>В строю</v>
          </cell>
          <cell r="AE523" t="str">
            <v>На виконанні</v>
          </cell>
        </row>
        <row r="524">
          <cell r="B524" t="str">
            <v>Кулеметний взвод</v>
          </cell>
          <cell r="I524" t="str">
            <v>солд.</v>
          </cell>
        </row>
        <row r="525">
          <cell r="B525" t="str">
            <v>Кулеметний взвод</v>
          </cell>
          <cell r="I525" t="str">
            <v>солд.</v>
          </cell>
          <cell r="M525" t="str">
            <v>солдат</v>
          </cell>
          <cell r="U525" t="str">
            <v>Лікування</v>
          </cell>
          <cell r="AE525" t="str">
            <v>Шпиталь</v>
          </cell>
        </row>
        <row r="526">
          <cell r="B526" t="str">
            <v>Кулеметний взвод</v>
          </cell>
          <cell r="I526" t="str">
            <v>солд.</v>
          </cell>
          <cell r="M526" t="str">
            <v>солдат</v>
          </cell>
          <cell r="U526" t="str">
            <v>В строю</v>
          </cell>
          <cell r="AE526" t="str">
            <v>ППД Вишневе</v>
          </cell>
        </row>
        <row r="527">
          <cell r="B527" t="str">
            <v>Кулеметний взвод</v>
          </cell>
          <cell r="I527" t="str">
            <v>солд.</v>
          </cell>
          <cell r="M527" t="str">
            <v>солдат</v>
          </cell>
          <cell r="U527" t="str">
            <v>В строю</v>
          </cell>
          <cell r="AE527" t="str">
            <v>ППД Вишневе</v>
          </cell>
        </row>
        <row r="528">
          <cell r="B528" t="str">
            <v>Кулеметний взвод</v>
          </cell>
          <cell r="I528" t="str">
            <v>солд.</v>
          </cell>
          <cell r="M528" t="str">
            <v>солдат</v>
          </cell>
          <cell r="U528" t="str">
            <v>В строю</v>
          </cell>
          <cell r="AE528" t="str">
            <v>ППД Вишневе</v>
          </cell>
        </row>
        <row r="529">
          <cell r="B529" t="str">
            <v>Кулеметний взвод</v>
          </cell>
          <cell r="I529" t="str">
            <v>солд.</v>
          </cell>
          <cell r="M529" t="str">
            <v>солдат</v>
          </cell>
          <cell r="U529" t="str">
            <v>В строю</v>
          </cell>
          <cell r="AE529" t="str">
            <v>На виконанні</v>
          </cell>
        </row>
        <row r="530">
          <cell r="B530" t="str">
            <v>Кулеметний взвод</v>
          </cell>
          <cell r="I530" t="str">
            <v>солд.</v>
          </cell>
        </row>
        <row r="531">
          <cell r="B531" t="str">
            <v>Кулеметний взвод</v>
          </cell>
          <cell r="I531" t="str">
            <v>солд.</v>
          </cell>
          <cell r="M531" t="str">
            <v>солдат</v>
          </cell>
          <cell r="U531" t="str">
            <v>Лікування</v>
          </cell>
          <cell r="AE531" t="str">
            <v>Шпиталь</v>
          </cell>
        </row>
        <row r="532">
          <cell r="B532" t="str">
            <v>Кулеметний взвод</v>
          </cell>
          <cell r="I532" t="str">
            <v>солд.</v>
          </cell>
          <cell r="M532" t="str">
            <v>солдат</v>
          </cell>
          <cell r="U532" t="str">
            <v>СЗЧ</v>
          </cell>
        </row>
        <row r="533">
          <cell r="B533" t="str">
            <v>Взвод протитанкових ракетних комплексів</v>
          </cell>
          <cell r="I533" t="str">
            <v>Оф.</v>
          </cell>
          <cell r="M533" t="str">
            <v>молодший лейтенант</v>
          </cell>
          <cell r="U533" t="str">
            <v>Відком. за межі ПБ</v>
          </cell>
          <cell r="AE533" t="str">
            <v>Полк</v>
          </cell>
        </row>
        <row r="534">
          <cell r="B534" t="str">
            <v>Взвод протитанкових ракетних комплексів</v>
          </cell>
          <cell r="I534" t="str">
            <v>Серж.</v>
          </cell>
          <cell r="M534" t="str">
            <v>молодший сержант</v>
          </cell>
          <cell r="U534" t="str">
            <v>В строю</v>
          </cell>
          <cell r="AE534" t="str">
            <v>ППД Слов'янка (техніка)</v>
          </cell>
        </row>
        <row r="535">
          <cell r="B535" t="str">
            <v>Взвод протитанкових ракетних комплексів</v>
          </cell>
          <cell r="I535" t="str">
            <v>солд.</v>
          </cell>
          <cell r="M535" t="str">
            <v>солдат</v>
          </cell>
          <cell r="U535" t="str">
            <v>В строю</v>
          </cell>
          <cell r="AE535" t="str">
            <v>На виконанні</v>
          </cell>
        </row>
        <row r="536">
          <cell r="B536" t="str">
            <v>Взвод протитанкових ракетних комплексів</v>
          </cell>
          <cell r="I536" t="str">
            <v>Серж.</v>
          </cell>
          <cell r="M536" t="str">
            <v>солдат</v>
          </cell>
          <cell r="U536" t="str">
            <v>В строю</v>
          </cell>
          <cell r="AE536" t="str">
            <v>ППД Слов'янка (техніка)</v>
          </cell>
        </row>
        <row r="537">
          <cell r="B537" t="str">
            <v>Взвод протитанкових ракетних комплексів</v>
          </cell>
          <cell r="I537" t="str">
            <v>солд.</v>
          </cell>
          <cell r="M537" t="str">
            <v>солдат</v>
          </cell>
          <cell r="U537" t="str">
            <v>В строю</v>
          </cell>
          <cell r="AE537" t="str">
            <v>ППД Лугова (літуни)</v>
          </cell>
        </row>
        <row r="538">
          <cell r="B538" t="str">
            <v>Взвод протитанкових ракетних комплексів</v>
          </cell>
          <cell r="I538" t="str">
            <v>солд.</v>
          </cell>
          <cell r="M538" t="str">
            <v>солдат</v>
          </cell>
          <cell r="U538" t="str">
            <v>В строю</v>
          </cell>
          <cell r="AE538" t="str">
            <v>КСП Павлоград</v>
          </cell>
        </row>
        <row r="539">
          <cell r="B539" t="str">
            <v>Взвод протитанкових ракетних комплексів</v>
          </cell>
          <cell r="I539" t="str">
            <v>солд.</v>
          </cell>
          <cell r="M539" t="str">
            <v>солдат</v>
          </cell>
          <cell r="U539" t="str">
            <v>В строю</v>
          </cell>
          <cell r="AE539" t="str">
            <v>КСП Павлоград</v>
          </cell>
        </row>
        <row r="540">
          <cell r="B540" t="str">
            <v>Взвод протитанкових ракетних комплексів</v>
          </cell>
          <cell r="I540" t="str">
            <v>солд.</v>
          </cell>
          <cell r="M540" t="str">
            <v>солдат</v>
          </cell>
          <cell r="U540" t="str">
            <v>В строю</v>
          </cell>
          <cell r="AE540" t="str">
            <v>ППД Лугова (літуни)</v>
          </cell>
        </row>
        <row r="541">
          <cell r="B541" t="str">
            <v>Взвод протитанкових ракетних комплексів</v>
          </cell>
          <cell r="I541" t="str">
            <v>солд.</v>
          </cell>
          <cell r="M541" t="str">
            <v>солдат</v>
          </cell>
          <cell r="U541" t="str">
            <v>СЗЧ</v>
          </cell>
        </row>
        <row r="542">
          <cell r="B542" t="str">
            <v>Взвод протитанкових ракетних комплексів</v>
          </cell>
          <cell r="I542" t="str">
            <v>солд.</v>
          </cell>
          <cell r="M542" t="str">
            <v>солдат</v>
          </cell>
          <cell r="U542" t="str">
            <v>Лікування</v>
          </cell>
          <cell r="AE542" t="str">
            <v>Шпиталь</v>
          </cell>
        </row>
        <row r="543">
          <cell r="B543" t="str">
            <v>Взвод протитанкових ракетних комплексів</v>
          </cell>
          <cell r="I543" t="str">
            <v>солд.</v>
          </cell>
          <cell r="M543" t="str">
            <v>солдат</v>
          </cell>
          <cell r="U543" t="str">
            <v>В строю</v>
          </cell>
          <cell r="AE543" t="str">
            <v>ППД Слов'янка (техніка)</v>
          </cell>
        </row>
        <row r="544">
          <cell r="B544" t="str">
            <v>Взвод протитанкових ракетних комплексів</v>
          </cell>
          <cell r="I544" t="str">
            <v>солд.</v>
          </cell>
        </row>
        <row r="545">
          <cell r="B545" t="str">
            <v>Взвод протитанкових ракетних комплексів</v>
          </cell>
          <cell r="I545" t="str">
            <v>Серж.</v>
          </cell>
          <cell r="M545" t="str">
            <v>солдат</v>
          </cell>
          <cell r="U545" t="str">
            <v>В строю</v>
          </cell>
          <cell r="AE545" t="str">
            <v>ППД Слов'янка (техніка)</v>
          </cell>
        </row>
        <row r="546">
          <cell r="B546" t="str">
            <v>Взвод протитанкових ракетних комплексів</v>
          </cell>
          <cell r="I546" t="str">
            <v>солд.</v>
          </cell>
          <cell r="M546" t="str">
            <v>солдат</v>
          </cell>
          <cell r="U546" t="str">
            <v>В строю</v>
          </cell>
          <cell r="AE546" t="str">
            <v>ППД Петропавлівка (літуни)</v>
          </cell>
        </row>
        <row r="547">
          <cell r="B547" t="str">
            <v>Взвод протитанкових ракетних комплексів</v>
          </cell>
          <cell r="I547" t="str">
            <v>солд.</v>
          </cell>
          <cell r="M547" t="str">
            <v>солдат</v>
          </cell>
          <cell r="U547" t="str">
            <v>В строю</v>
          </cell>
          <cell r="AE547" t="str">
            <v>ППД Вишневе</v>
          </cell>
        </row>
        <row r="548">
          <cell r="B548" t="str">
            <v>Взвод протитанкових ракетних комплексів</v>
          </cell>
          <cell r="I548" t="str">
            <v>солд.</v>
          </cell>
          <cell r="M548" t="str">
            <v>солдат</v>
          </cell>
          <cell r="U548" t="str">
            <v>В строю</v>
          </cell>
          <cell r="AE548" t="str">
            <v>ППД Вишневе</v>
          </cell>
        </row>
        <row r="549">
          <cell r="B549" t="str">
            <v>Взвод протитанкових ракетних комплексів</v>
          </cell>
          <cell r="I549" t="str">
            <v>солд.</v>
          </cell>
          <cell r="M549" t="str">
            <v>солдат</v>
          </cell>
          <cell r="U549" t="str">
            <v>В строю</v>
          </cell>
          <cell r="AE549" t="str">
            <v>На виконанні</v>
          </cell>
        </row>
        <row r="550">
          <cell r="B550" t="str">
            <v>Взвод протитанкових ракетних комплексів</v>
          </cell>
          <cell r="I550" t="str">
            <v>солд.</v>
          </cell>
          <cell r="M550" t="str">
            <v>солдат</v>
          </cell>
          <cell r="U550" t="str">
            <v>СЗЧ</v>
          </cell>
        </row>
        <row r="551">
          <cell r="B551" t="str">
            <v>Взвод протитанкових ракетних комплексів</v>
          </cell>
          <cell r="I551" t="str">
            <v>солд.</v>
          </cell>
          <cell r="M551" t="str">
            <v>солдат</v>
          </cell>
          <cell r="U551" t="str">
            <v>Лікування</v>
          </cell>
          <cell r="AE551" t="str">
            <v>Шпиталь</v>
          </cell>
        </row>
        <row r="552">
          <cell r="B552" t="str">
            <v>Взвод протитанкових ракетних комплексів</v>
          </cell>
          <cell r="I552" t="str">
            <v>солд.</v>
          </cell>
          <cell r="M552" t="str">
            <v>матрос</v>
          </cell>
          <cell r="U552" t="str">
            <v>Лікування</v>
          </cell>
          <cell r="AE552" t="str">
            <v>Шпиталь</v>
          </cell>
        </row>
        <row r="553">
          <cell r="B553" t="str">
            <v>Взвод логістично-евакуаційних безпілотних наземних систем</v>
          </cell>
          <cell r="I553" t="str">
            <v>Оф.</v>
          </cell>
          <cell r="M553" t="str">
            <v>старший лейтенант</v>
          </cell>
          <cell r="U553" t="str">
            <v>В строю</v>
          </cell>
          <cell r="AE553" t="str">
            <v>ППД Вишневе</v>
          </cell>
        </row>
        <row r="554">
          <cell r="B554" t="str">
            <v>Взвод логістично-евакуаційних безпілотних наземних систем</v>
          </cell>
          <cell r="I554" t="str">
            <v>Серж.</v>
          </cell>
          <cell r="M554" t="str">
            <v>солдат</v>
          </cell>
          <cell r="U554" t="str">
            <v>Відком. за межі ПБ</v>
          </cell>
          <cell r="AE554" t="str">
            <v>Полігон "Б"</v>
          </cell>
        </row>
        <row r="555">
          <cell r="B555" t="str">
            <v>Взвод логістично-евакуаційних безпілотних наземних систем</v>
          </cell>
          <cell r="I555" t="str">
            <v>Серж.</v>
          </cell>
        </row>
        <row r="556">
          <cell r="B556" t="str">
            <v>Взвод логістично-евакуаційних безпілотних наземних систем</v>
          </cell>
          <cell r="I556" t="str">
            <v>солд.</v>
          </cell>
          <cell r="M556" t="str">
            <v>солдат</v>
          </cell>
          <cell r="U556" t="str">
            <v>Лікування</v>
          </cell>
          <cell r="AE556" t="str">
            <v>Шпиталь</v>
          </cell>
        </row>
        <row r="557">
          <cell r="B557" t="str">
            <v>Взвод логістично-евакуаційних безпілотних наземних систем</v>
          </cell>
          <cell r="I557" t="str">
            <v>Серж.</v>
          </cell>
          <cell r="M557" t="str">
            <v>молодший сержант</v>
          </cell>
          <cell r="U557" t="str">
            <v>В строю</v>
          </cell>
          <cell r="AE557" t="str">
            <v>ППД Вишневе</v>
          </cell>
        </row>
        <row r="558">
          <cell r="B558" t="str">
            <v>Взвод логістично-евакуаційних безпілотних наземних систем</v>
          </cell>
          <cell r="I558" t="str">
            <v>солд.</v>
          </cell>
        </row>
        <row r="559">
          <cell r="B559" t="str">
            <v>Взвод логістично-евакуаційних безпілотних наземних систем</v>
          </cell>
          <cell r="I559" t="str">
            <v>солд.</v>
          </cell>
          <cell r="M559" t="str">
            <v>солдат</v>
          </cell>
          <cell r="U559" t="str">
            <v>Лікування</v>
          </cell>
          <cell r="AE559" t="str">
            <v>Шпиталь</v>
          </cell>
        </row>
        <row r="560">
          <cell r="B560" t="str">
            <v>Взвод логістично-евакуаційних безпілотних наземних систем</v>
          </cell>
          <cell r="I560" t="str">
            <v>солд.</v>
          </cell>
          <cell r="M560" t="str">
            <v>старший солдат</v>
          </cell>
          <cell r="U560" t="str">
            <v>В строю</v>
          </cell>
          <cell r="AE560" t="str">
            <v>На виконанні</v>
          </cell>
        </row>
        <row r="561">
          <cell r="B561" t="str">
            <v>Взвод логістично-евакуаційних безпілотних наземних систем</v>
          </cell>
          <cell r="I561" t="str">
            <v>солд.</v>
          </cell>
          <cell r="M561" t="str">
            <v>солдат</v>
          </cell>
          <cell r="U561" t="str">
            <v>Лікування</v>
          </cell>
          <cell r="AE561" t="str">
            <v>Відпустка лікув.</v>
          </cell>
        </row>
        <row r="562">
          <cell r="B562" t="str">
            <v>Взвод логістично-евакуаційних безпілотних наземних систем</v>
          </cell>
          <cell r="I562" t="str">
            <v>солд.</v>
          </cell>
          <cell r="M562" t="str">
            <v>солдат</v>
          </cell>
          <cell r="U562" t="str">
            <v>В строю</v>
          </cell>
          <cell r="AE562" t="str">
            <v>КСП Павлоград</v>
          </cell>
        </row>
        <row r="563">
          <cell r="B563" t="str">
            <v>Взвод логістично-евакуаційних безпілотних наземних систем</v>
          </cell>
          <cell r="I563" t="str">
            <v>солд.</v>
          </cell>
          <cell r="M563" t="str">
            <v>солдат</v>
          </cell>
          <cell r="U563" t="str">
            <v>В строю</v>
          </cell>
          <cell r="AE563" t="str">
            <v>ППД Вишневе</v>
          </cell>
        </row>
        <row r="564">
          <cell r="B564" t="str">
            <v>Взвод логістично-евакуаційних безпілотних наземних систем</v>
          </cell>
          <cell r="I564" t="str">
            <v>Серж.</v>
          </cell>
          <cell r="M564" t="str">
            <v>молодший сержант</v>
          </cell>
          <cell r="U564" t="str">
            <v>В строю</v>
          </cell>
          <cell r="AE564" t="str">
            <v>ППД Шевченко (Петропавлівка (літуни))</v>
          </cell>
        </row>
        <row r="565">
          <cell r="B565" t="str">
            <v>Взвод логістично-евакуаційних безпілотних наземних систем</v>
          </cell>
          <cell r="I565" t="str">
            <v>солд.</v>
          </cell>
          <cell r="M565" t="str">
            <v>солдат</v>
          </cell>
          <cell r="U565" t="str">
            <v>СЗЧ</v>
          </cell>
        </row>
        <row r="566">
          <cell r="B566" t="str">
            <v>Взвод логістично-евакуаційних безпілотних наземних систем</v>
          </cell>
          <cell r="I566" t="str">
            <v>солд.</v>
          </cell>
          <cell r="M566" t="str">
            <v>солдат</v>
          </cell>
          <cell r="U566" t="str">
            <v>Лікування</v>
          </cell>
          <cell r="AE566" t="str">
            <v>Мед. рота</v>
          </cell>
        </row>
        <row r="567">
          <cell r="B567" t="str">
            <v>Взвод логістично-евакуаційних безпілотних наземних систем</v>
          </cell>
          <cell r="I567" t="str">
            <v>солд.</v>
          </cell>
          <cell r="M567" t="str">
            <v>солдат</v>
          </cell>
          <cell r="U567" t="str">
            <v>Відком. за межі ПБ</v>
          </cell>
        </row>
        <row r="568">
          <cell r="B568" t="str">
            <v>Взвод логістично-евакуаційних безпілотних наземних систем</v>
          </cell>
          <cell r="I568" t="str">
            <v>солд.</v>
          </cell>
          <cell r="M568" t="str">
            <v>солдат</v>
          </cell>
          <cell r="U568" t="str">
            <v>Лікування</v>
          </cell>
          <cell r="AE568" t="str">
            <v>Шпиталь</v>
          </cell>
        </row>
        <row r="569">
          <cell r="B569" t="str">
            <v>Взвод логістично-евакуаційних безпілотних наземних систем</v>
          </cell>
          <cell r="I569" t="str">
            <v>солд.</v>
          </cell>
          <cell r="M569" t="str">
            <v>солдат</v>
          </cell>
          <cell r="U569" t="str">
            <v>СЗЧ</v>
          </cell>
        </row>
        <row r="570">
          <cell r="B570" t="str">
            <v>Взвод логістично-евакуаційних безпілотних наземних систем</v>
          </cell>
          <cell r="I570" t="str">
            <v>солд.</v>
          </cell>
          <cell r="M570" t="str">
            <v>солдат</v>
          </cell>
          <cell r="U570" t="str">
            <v>В строю</v>
          </cell>
          <cell r="AE570" t="str">
            <v>ППД Вишневе</v>
          </cell>
        </row>
        <row r="571">
          <cell r="B571" t="str">
            <v>Взвод логістично-евакуаційних безпілотних наземних систем</v>
          </cell>
          <cell r="I571" t="str">
            <v>Серж.</v>
          </cell>
          <cell r="M571" t="str">
            <v>солдат</v>
          </cell>
          <cell r="U571" t="str">
            <v>В строю</v>
          </cell>
          <cell r="AE571" t="str">
            <v>ППД Слов'янка (13-й)</v>
          </cell>
        </row>
        <row r="572">
          <cell r="B572" t="str">
            <v>Взвод логістично-евакуаційних безпілотних наземних систем</v>
          </cell>
          <cell r="I572" t="str">
            <v>солд.</v>
          </cell>
          <cell r="M572" t="str">
            <v>солдат</v>
          </cell>
          <cell r="U572" t="str">
            <v>В строю</v>
          </cell>
          <cell r="AE572" t="str">
            <v>ППД Вишневе</v>
          </cell>
        </row>
        <row r="573">
          <cell r="B573" t="str">
            <v>Взвод логістично-евакуаційних безпілотних наземних систем</v>
          </cell>
          <cell r="I573" t="str">
            <v>солд.</v>
          </cell>
          <cell r="M573" t="str">
            <v>молодший сержант</v>
          </cell>
          <cell r="U573" t="str">
            <v>В строю</v>
          </cell>
          <cell r="AE573" t="str">
            <v>На виконанні</v>
          </cell>
        </row>
        <row r="574">
          <cell r="B574" t="str">
            <v>Взвод логістично-евакуаційних безпілотних наземних систем</v>
          </cell>
          <cell r="I574" t="str">
            <v>солд.</v>
          </cell>
          <cell r="M574" t="str">
            <v>солдат</v>
          </cell>
          <cell r="U574" t="str">
            <v>В строю</v>
          </cell>
          <cell r="AE574" t="str">
            <v>ППД Шевченко (Петропавлівка (літуни))</v>
          </cell>
        </row>
        <row r="575">
          <cell r="B575" t="str">
            <v>Взвод логістично-евакуаційних безпілотних наземних систем</v>
          </cell>
          <cell r="I575" t="str">
            <v>солд.</v>
          </cell>
          <cell r="M575" t="str">
            <v>солдат</v>
          </cell>
          <cell r="U575" t="str">
            <v>В строю</v>
          </cell>
          <cell r="AE575" t="str">
            <v>На виконанні</v>
          </cell>
        </row>
        <row r="576">
          <cell r="B576" t="str">
            <v>Взвод логістично-евакуаційних безпілотних наземних систем</v>
          </cell>
          <cell r="I576" t="str">
            <v>солд.</v>
          </cell>
          <cell r="M576" t="str">
            <v>солдат</v>
          </cell>
          <cell r="U576" t="str">
            <v>Лікування</v>
          </cell>
          <cell r="AE576" t="str">
            <v>Відпустка лікув.</v>
          </cell>
        </row>
        <row r="577">
          <cell r="B577" t="str">
            <v>Взвод логістично-евакуаційних безпілотних наземних систем</v>
          </cell>
          <cell r="I577" t="str">
            <v>солд.</v>
          </cell>
          <cell r="M577" t="str">
            <v>солдат</v>
          </cell>
          <cell r="U577" t="str">
            <v>В строю</v>
          </cell>
          <cell r="AE577" t="str">
            <v>ППД Польова</v>
          </cell>
        </row>
        <row r="578">
          <cell r="B578" t="str">
            <v>Взвод логістично-евакуаційних безпілотних наземних систем</v>
          </cell>
          <cell r="I578" t="str">
            <v>Серж.</v>
          </cell>
          <cell r="M578" t="str">
            <v>солдат</v>
          </cell>
          <cell r="U578" t="str">
            <v>В строю</v>
          </cell>
          <cell r="AE578" t="str">
            <v>ППД Слов'янка (техніка)</v>
          </cell>
        </row>
        <row r="579">
          <cell r="B579" t="str">
            <v>Взвод логістично-евакуаційних безпілотних наземних систем</v>
          </cell>
          <cell r="I579" t="str">
            <v>солд.</v>
          </cell>
          <cell r="M579" t="str">
            <v>солдат</v>
          </cell>
          <cell r="U579" t="str">
            <v>В строю</v>
          </cell>
          <cell r="AE579" t="str">
            <v>ППД Вишневе</v>
          </cell>
        </row>
        <row r="580">
          <cell r="B580" t="str">
            <v>Взвод логістично-евакуаційних безпілотних наземних систем</v>
          </cell>
          <cell r="I580" t="str">
            <v>солд.</v>
          </cell>
          <cell r="M580" t="str">
            <v>солдат</v>
          </cell>
          <cell r="U580" t="str">
            <v>Відком. за межі ПБ</v>
          </cell>
        </row>
        <row r="581">
          <cell r="B581" t="str">
            <v>Взвод логістично-евакуаційних безпілотних наземних систем</v>
          </cell>
          <cell r="I581" t="str">
            <v>солд.</v>
          </cell>
          <cell r="M581" t="str">
            <v>старший солдат</v>
          </cell>
          <cell r="U581" t="str">
            <v>В строю</v>
          </cell>
        </row>
        <row r="582">
          <cell r="B582" t="str">
            <v>Взвод логістично-евакуаційних безпілотних наземних систем</v>
          </cell>
          <cell r="I582" t="str">
            <v>солд.</v>
          </cell>
          <cell r="M582" t="str">
            <v>солдат</v>
          </cell>
          <cell r="U582" t="str">
            <v>В строю</v>
          </cell>
          <cell r="AE582" t="str">
            <v>ППД Петропавлівка</v>
          </cell>
        </row>
        <row r="583">
          <cell r="B583" t="str">
            <v>Взвод логістично-евакуаційних безпілотних наземних систем</v>
          </cell>
          <cell r="I583" t="str">
            <v>солд.</v>
          </cell>
          <cell r="M583" t="str">
            <v>солдат</v>
          </cell>
          <cell r="U583" t="str">
            <v>В строю</v>
          </cell>
          <cell r="AE583" t="str">
            <v>ППД Петропавлівка</v>
          </cell>
        </row>
        <row r="584">
          <cell r="B584" t="str">
            <v>Взвод логістично-евакуаційних безпілотних наземних систем</v>
          </cell>
          <cell r="I584" t="str">
            <v>солд.</v>
          </cell>
          <cell r="M584" t="str">
            <v>солдат</v>
          </cell>
          <cell r="U584" t="str">
            <v>В строю</v>
          </cell>
          <cell r="AE584" t="str">
            <v>ППД Вишневе</v>
          </cell>
        </row>
        <row r="585">
          <cell r="B585" t="str">
            <v>Взвод перехоплювачів безпілотних літальних апаратів</v>
          </cell>
          <cell r="I585" t="str">
            <v>Оф.</v>
          </cell>
          <cell r="M585" t="str">
            <v>молодший лейтенант</v>
          </cell>
          <cell r="U585" t="str">
            <v>Відком. за межі ПБ</v>
          </cell>
          <cell r="AE585" t="str">
            <v>Полк</v>
          </cell>
        </row>
        <row r="586">
          <cell r="B586" t="str">
            <v>Взвод перехоплювачів безпілотних літальних апаратів</v>
          </cell>
          <cell r="I586" t="str">
            <v>Серж.</v>
          </cell>
          <cell r="M586" t="str">
            <v>старший солдат</v>
          </cell>
          <cell r="U586" t="str">
            <v>В строю</v>
          </cell>
          <cell r="AE586" t="str">
            <v>На виконанні</v>
          </cell>
        </row>
        <row r="587">
          <cell r="B587" t="str">
            <v>Взвод перехоплювачів безпілотних літальних апаратів</v>
          </cell>
          <cell r="I587" t="str">
            <v>солд.</v>
          </cell>
        </row>
        <row r="588">
          <cell r="B588" t="str">
            <v>Взвод перехоплювачів безпілотних літальних апаратів</v>
          </cell>
          <cell r="I588" t="str">
            <v>солд.</v>
          </cell>
          <cell r="M588" t="str">
            <v>солдат</v>
          </cell>
          <cell r="U588" t="str">
            <v>Лікування</v>
          </cell>
          <cell r="AE588" t="str">
            <v>Шпиталь</v>
          </cell>
        </row>
        <row r="589">
          <cell r="B589" t="str">
            <v>Взвод перехоплювачів безпілотних літальних апаратів</v>
          </cell>
          <cell r="I589" t="str">
            <v>Серж.</v>
          </cell>
          <cell r="M589" t="str">
            <v>солдат</v>
          </cell>
          <cell r="U589" t="str">
            <v>Відком. за межі ПБ</v>
          </cell>
          <cell r="AE589" t="str">
            <v>Полк</v>
          </cell>
        </row>
        <row r="590">
          <cell r="B590" t="str">
            <v>Взвод перехоплювачів безпілотних літальних апаратів</v>
          </cell>
          <cell r="I590" t="str">
            <v>солд.</v>
          </cell>
          <cell r="M590" t="str">
            <v>солдат</v>
          </cell>
          <cell r="U590" t="str">
            <v>В строю</v>
          </cell>
          <cell r="AE590" t="str">
            <v>ППД Самарське (літуни)</v>
          </cell>
        </row>
        <row r="591">
          <cell r="B591" t="str">
            <v>Взвод перехоплювачів безпілотних літальних апаратів</v>
          </cell>
          <cell r="I591" t="str">
            <v>солд.</v>
          </cell>
          <cell r="M591" t="str">
            <v>солдат</v>
          </cell>
          <cell r="U591" t="str">
            <v>Відком. за межі ПБ</v>
          </cell>
          <cell r="AE591" t="str">
            <v>Вик.БЗ в ін. п-лі</v>
          </cell>
        </row>
        <row r="592">
          <cell r="B592" t="str">
            <v>Взвод перехоплювачів безпілотних літальних апаратів</v>
          </cell>
          <cell r="I592" t="str">
            <v>солд.</v>
          </cell>
          <cell r="M592" t="str">
            <v>сержант</v>
          </cell>
          <cell r="U592" t="str">
            <v>Зниклі безвісти</v>
          </cell>
        </row>
        <row r="593">
          <cell r="B593" t="str">
            <v>Взвод перехоплювачів безпілотних літальних апаратів</v>
          </cell>
          <cell r="I593" t="str">
            <v>Серж.</v>
          </cell>
          <cell r="M593" t="str">
            <v>солдат</v>
          </cell>
          <cell r="U593" t="str">
            <v>В строю</v>
          </cell>
          <cell r="AE593" t="str">
            <v>ППД Вишневе</v>
          </cell>
        </row>
        <row r="594">
          <cell r="B594" t="str">
            <v>Взвод перехоплювачів безпілотних літальних апаратів</v>
          </cell>
          <cell r="I594" t="str">
            <v>солд.</v>
          </cell>
          <cell r="M594" t="str">
            <v>старший солдат</v>
          </cell>
          <cell r="U594" t="str">
            <v>Лікування</v>
          </cell>
          <cell r="AE594" t="str">
            <v>Шпиталь</v>
          </cell>
        </row>
        <row r="595">
          <cell r="B595" t="str">
            <v>Взвод перехоплювачів безпілотних літальних апаратів</v>
          </cell>
          <cell r="I595" t="str">
            <v>солд.</v>
          </cell>
          <cell r="M595" t="str">
            <v>солдат</v>
          </cell>
          <cell r="U595" t="str">
            <v>В строю</v>
          </cell>
          <cell r="AE595" t="str">
            <v>ППД Вишневе</v>
          </cell>
        </row>
        <row r="596">
          <cell r="B596" t="str">
            <v>Взвод перехоплювачів безпілотних літальних апаратів</v>
          </cell>
          <cell r="I596" t="str">
            <v>солд.</v>
          </cell>
          <cell r="M596" t="str">
            <v>молодший сержант</v>
          </cell>
          <cell r="U596" t="str">
            <v>В строю</v>
          </cell>
          <cell r="AE596" t="str">
            <v>н.п. Бажани</v>
          </cell>
        </row>
        <row r="597">
          <cell r="B597" t="str">
            <v>Взвод перехоплювачів безпілотних літальних апаратів</v>
          </cell>
          <cell r="I597" t="str">
            <v>Серж.</v>
          </cell>
          <cell r="M597" t="str">
            <v>солдат</v>
          </cell>
          <cell r="U597" t="str">
            <v>В строю</v>
          </cell>
          <cell r="AE597" t="str">
            <v>ППД Вишневе</v>
          </cell>
        </row>
        <row r="598">
          <cell r="B598" t="str">
            <v>Взвод перехоплювачів безпілотних літальних апаратів</v>
          </cell>
          <cell r="I598" t="str">
            <v>солд.</v>
          </cell>
          <cell r="M598" t="str">
            <v>солдат</v>
          </cell>
          <cell r="U598" t="str">
            <v>В строю</v>
          </cell>
          <cell r="AE598" t="str">
            <v>ППД Слов'янка (13-й)</v>
          </cell>
        </row>
        <row r="599">
          <cell r="B599" t="str">
            <v>Взвод перехоплювачів безпілотних літальних апаратів</v>
          </cell>
          <cell r="I599" t="str">
            <v>солд.</v>
          </cell>
          <cell r="M599" t="str">
            <v>солдат</v>
          </cell>
          <cell r="U599" t="str">
            <v>В строю</v>
          </cell>
          <cell r="AE599" t="str">
            <v>ППД Петропавлівка (літуни)</v>
          </cell>
        </row>
        <row r="600">
          <cell r="B600" t="str">
            <v>Взвод перехоплювачів безпілотних літальних апаратів</v>
          </cell>
          <cell r="I600" t="str">
            <v>солд.</v>
          </cell>
          <cell r="M600" t="str">
            <v>солдат</v>
          </cell>
          <cell r="U600" t="str">
            <v>В строю</v>
          </cell>
          <cell r="AE600" t="str">
            <v>ППД Соборне (літуни)</v>
          </cell>
        </row>
        <row r="601">
          <cell r="B601" t="str">
            <v>Взвод перехоплювачів безпілотних літальних апаратів</v>
          </cell>
          <cell r="I601" t="str">
            <v>Серж.</v>
          </cell>
          <cell r="M601" t="str">
            <v>сержант</v>
          </cell>
          <cell r="U601" t="str">
            <v>В строю</v>
          </cell>
          <cell r="AE601" t="str">
            <v>ППД Вишневе</v>
          </cell>
        </row>
        <row r="602">
          <cell r="B602" t="str">
            <v>Взвод перехоплювачів безпілотних літальних апаратів</v>
          </cell>
          <cell r="I602" t="str">
            <v>солд.</v>
          </cell>
          <cell r="M602" t="str">
            <v>солдат</v>
          </cell>
          <cell r="U602" t="str">
            <v>В строю</v>
          </cell>
          <cell r="AE602" t="str">
            <v>ППД Вишневе</v>
          </cell>
        </row>
        <row r="603">
          <cell r="B603" t="str">
            <v>Взвод перехоплювачів безпілотних літальних апаратів</v>
          </cell>
          <cell r="I603" t="str">
            <v>солд.</v>
          </cell>
          <cell r="M603" t="str">
            <v>солдат</v>
          </cell>
          <cell r="U603" t="str">
            <v>Зниклі безвісти</v>
          </cell>
        </row>
        <row r="604">
          <cell r="B604" t="str">
            <v>Взвод перехоплювачів безпілотних літальних апаратів</v>
          </cell>
          <cell r="I604" t="str">
            <v>солд.</v>
          </cell>
          <cell r="M604" t="str">
            <v>солдат</v>
          </cell>
          <cell r="U604" t="str">
            <v>Відком. за межі ПБ</v>
          </cell>
          <cell r="AE604" t="str">
            <v>н.п. Барвінково</v>
          </cell>
        </row>
        <row r="605">
          <cell r="B605" t="str">
            <v>Взвод перехоплювачів безпілотних літальних апаратів</v>
          </cell>
          <cell r="I605" t="str">
            <v>Серж.</v>
          </cell>
          <cell r="M605" t="str">
            <v>молодший сержант</v>
          </cell>
          <cell r="U605" t="str">
            <v>Лікування</v>
          </cell>
          <cell r="AE605" t="str">
            <v>Шпиталь</v>
          </cell>
        </row>
        <row r="606">
          <cell r="B606" t="str">
            <v>Взвод перехоплювачів безпілотних літальних апаратів</v>
          </cell>
          <cell r="I606" t="str">
            <v>солд.</v>
          </cell>
          <cell r="M606" t="str">
            <v>солдат</v>
          </cell>
          <cell r="U606" t="str">
            <v>Лікування</v>
          </cell>
          <cell r="AE606" t="str">
            <v>Шпиталь</v>
          </cell>
        </row>
        <row r="607">
          <cell r="B607" t="str">
            <v>Взвод перехоплювачів безпілотних літальних апаратів</v>
          </cell>
          <cell r="I607" t="str">
            <v>солд.</v>
          </cell>
          <cell r="M607" t="str">
            <v>солдат</v>
          </cell>
          <cell r="U607" t="str">
            <v>В строю</v>
          </cell>
          <cell r="AE607" t="str">
            <v>ППД Вишневе</v>
          </cell>
        </row>
        <row r="608">
          <cell r="B608" t="str">
            <v>Взвод перехоплювачів безпілотних літальних апаратів</v>
          </cell>
          <cell r="I608" t="str">
            <v>солд.</v>
          </cell>
          <cell r="M608" t="str">
            <v>солдат</v>
          </cell>
          <cell r="U608" t="str">
            <v>В строю</v>
          </cell>
          <cell r="AE608" t="str">
            <v>ППД Вишневе</v>
          </cell>
        </row>
        <row r="609">
          <cell r="B609" t="str">
            <v>Розвідувальний взвод</v>
          </cell>
          <cell r="I609" t="str">
            <v>Оф.</v>
          </cell>
          <cell r="M609" t="str">
            <v>сержант</v>
          </cell>
          <cell r="U609" t="str">
            <v>В строю</v>
          </cell>
          <cell r="AE609" t="str">
            <v>ППД Вишневе</v>
          </cell>
        </row>
        <row r="610">
          <cell r="B610" t="str">
            <v>Розвідувальний взвод</v>
          </cell>
          <cell r="I610" t="str">
            <v>Серж.</v>
          </cell>
          <cell r="M610" t="str">
            <v>солдат</v>
          </cell>
          <cell r="U610" t="str">
            <v>Відком. за межі ПБ</v>
          </cell>
          <cell r="AE610" t="str">
            <v>Полк</v>
          </cell>
        </row>
        <row r="611">
          <cell r="B611" t="str">
            <v>Розвідувальний взвод</v>
          </cell>
          <cell r="I611" t="str">
            <v>Серж.</v>
          </cell>
          <cell r="M611" t="str">
            <v>рядовий</v>
          </cell>
          <cell r="U611" t="str">
            <v>В строю</v>
          </cell>
          <cell r="AE611" t="str">
            <v>КСП Павлоград</v>
          </cell>
        </row>
        <row r="612">
          <cell r="B612" t="str">
            <v>Розвідувальний взвод</v>
          </cell>
          <cell r="I612" t="str">
            <v>Серж.</v>
          </cell>
          <cell r="M612" t="str">
            <v>солдат</v>
          </cell>
          <cell r="U612" t="str">
            <v>В строю</v>
          </cell>
          <cell r="AE612" t="str">
            <v>ППД Вишневе</v>
          </cell>
        </row>
        <row r="613">
          <cell r="B613" t="str">
            <v>Розвідувальний взвод</v>
          </cell>
          <cell r="I613" t="str">
            <v>солд.</v>
          </cell>
          <cell r="M613" t="str">
            <v>солдат</v>
          </cell>
          <cell r="U613" t="str">
            <v>СЗЧ</v>
          </cell>
        </row>
        <row r="614">
          <cell r="B614" t="str">
            <v>Розвідувальний взвод</v>
          </cell>
          <cell r="I614" t="str">
            <v>солд.</v>
          </cell>
          <cell r="M614" t="str">
            <v>молодший сержант</v>
          </cell>
          <cell r="U614" t="str">
            <v>В строю</v>
          </cell>
          <cell r="AE614" t="str">
            <v>ППД Вишневе</v>
          </cell>
        </row>
        <row r="615">
          <cell r="B615" t="str">
            <v>Розвідувальний взвод</v>
          </cell>
          <cell r="I615" t="str">
            <v>солд.</v>
          </cell>
          <cell r="M615" t="str">
            <v>солдат</v>
          </cell>
          <cell r="U615" t="str">
            <v>В строю</v>
          </cell>
          <cell r="AE615" t="str">
            <v>ППД Вишневе</v>
          </cell>
        </row>
        <row r="616">
          <cell r="B616" t="str">
            <v>Розвідувальний взвод</v>
          </cell>
          <cell r="I616" t="str">
            <v>солд.</v>
          </cell>
          <cell r="M616" t="str">
            <v>солдат</v>
          </cell>
          <cell r="U616" t="str">
            <v>В строю</v>
          </cell>
          <cell r="AE616" t="str">
            <v>На виконанні</v>
          </cell>
        </row>
        <row r="617">
          <cell r="B617" t="str">
            <v>Розвідувальний взвод</v>
          </cell>
          <cell r="I617" t="str">
            <v>солд.</v>
          </cell>
          <cell r="M617" t="str">
            <v>солдат</v>
          </cell>
          <cell r="U617" t="str">
            <v>Лікування</v>
          </cell>
          <cell r="AE617" t="str">
            <v>Шпиталь</v>
          </cell>
        </row>
        <row r="618">
          <cell r="B618" t="str">
            <v>Розвідувальний взвод</v>
          </cell>
          <cell r="I618" t="str">
            <v>солд.</v>
          </cell>
          <cell r="M618" t="str">
            <v>солдат</v>
          </cell>
          <cell r="U618" t="str">
            <v>В строю</v>
          </cell>
          <cell r="AE618" t="str">
            <v>ППД Вишневе</v>
          </cell>
        </row>
        <row r="619">
          <cell r="B619" t="str">
            <v>Розвідувальний взвод</v>
          </cell>
          <cell r="I619" t="str">
            <v>солд.</v>
          </cell>
          <cell r="M619" t="str">
            <v>солдат</v>
          </cell>
          <cell r="U619" t="str">
            <v>В строю</v>
          </cell>
          <cell r="AE619" t="str">
            <v>ППД Вишневе</v>
          </cell>
        </row>
        <row r="620">
          <cell r="B620" t="str">
            <v>Розвідувальний взвод</v>
          </cell>
          <cell r="I620" t="str">
            <v>солд.</v>
          </cell>
          <cell r="M620" t="str">
            <v>солдат</v>
          </cell>
          <cell r="U620" t="str">
            <v>Лікування</v>
          </cell>
          <cell r="AE620" t="str">
            <v>Мед. рота</v>
          </cell>
        </row>
        <row r="621">
          <cell r="B621" t="str">
            <v>Розвідувальний взвод</v>
          </cell>
          <cell r="I621" t="str">
            <v>солд.</v>
          </cell>
          <cell r="M621" t="str">
            <v>рядовий</v>
          </cell>
          <cell r="U621" t="str">
            <v>В строю</v>
          </cell>
          <cell r="AE621" t="str">
            <v>ППД Вишневе</v>
          </cell>
        </row>
        <row r="622">
          <cell r="B622" t="str">
            <v>Розвідувальний взвод</v>
          </cell>
          <cell r="I622" t="str">
            <v>солд.</v>
          </cell>
          <cell r="M622" t="str">
            <v>солдат</v>
          </cell>
          <cell r="U622" t="str">
            <v>В строю</v>
          </cell>
          <cell r="AE622" t="str">
            <v>ППД Шевченко (Петропавлівка (літуни))</v>
          </cell>
        </row>
        <row r="623">
          <cell r="B623" t="str">
            <v>Розвідувальний взвод</v>
          </cell>
          <cell r="I623" t="str">
            <v>солд.</v>
          </cell>
        </row>
        <row r="624">
          <cell r="B624" t="str">
            <v>Розвідувальний взвод</v>
          </cell>
          <cell r="I624" t="str">
            <v>солд.</v>
          </cell>
        </row>
        <row r="625">
          <cell r="B625" t="str">
            <v>Розвідувальний взвод</v>
          </cell>
          <cell r="I625" t="str">
            <v>солд.</v>
          </cell>
          <cell r="M625" t="str">
            <v>солдат</v>
          </cell>
          <cell r="U625" t="str">
            <v>Лікування</v>
          </cell>
          <cell r="AE625" t="str">
            <v>Шпиталь</v>
          </cell>
        </row>
        <row r="626">
          <cell r="B626" t="str">
            <v>Розвідувальний взвод</v>
          </cell>
          <cell r="I626" t="str">
            <v>солд.</v>
          </cell>
          <cell r="M626" t="str">
            <v>солдат</v>
          </cell>
          <cell r="U626" t="str">
            <v>В строю</v>
          </cell>
          <cell r="AE626" t="str">
            <v>ППД Вишневе</v>
          </cell>
        </row>
        <row r="627">
          <cell r="B627" t="str">
            <v>Розвідувальний взвод</v>
          </cell>
          <cell r="I627" t="str">
            <v>солд.</v>
          </cell>
          <cell r="M627" t="str">
            <v>солдат</v>
          </cell>
          <cell r="U627" t="str">
            <v>Лікування</v>
          </cell>
          <cell r="AE627" t="str">
            <v>Шпиталь</v>
          </cell>
        </row>
        <row r="628">
          <cell r="B628" t="str">
            <v>Розвідувальний взвод</v>
          </cell>
          <cell r="I628" t="str">
            <v>солд.</v>
          </cell>
          <cell r="M628" t="str">
            <v>солдат</v>
          </cell>
          <cell r="U628" t="str">
            <v>Лікування</v>
          </cell>
          <cell r="AE628" t="str">
            <v>Шпиталь</v>
          </cell>
        </row>
        <row r="629">
          <cell r="B629" t="str">
            <v>Розвідувальний взвод</v>
          </cell>
          <cell r="I629" t="str">
            <v>солд.</v>
          </cell>
          <cell r="M629" t="str">
            <v>солдат</v>
          </cell>
          <cell r="U629" t="str">
            <v>В строю</v>
          </cell>
          <cell r="AE629" t="str">
            <v>ППД Вишневе</v>
          </cell>
        </row>
        <row r="630">
          <cell r="B630" t="str">
            <v>Розвідувальний взвод</v>
          </cell>
          <cell r="I630" t="str">
            <v>Серж.</v>
          </cell>
          <cell r="M630" t="str">
            <v>молодший сержант</v>
          </cell>
          <cell r="U630" t="str">
            <v>В строю</v>
          </cell>
          <cell r="AE630" t="str">
            <v>ППД Слов'янка (13-й)</v>
          </cell>
        </row>
        <row r="631">
          <cell r="B631" t="str">
            <v>Розвідувальний взвод</v>
          </cell>
          <cell r="I631" t="str">
            <v>солд.</v>
          </cell>
          <cell r="M631" t="str">
            <v>солдат</v>
          </cell>
          <cell r="U631" t="str">
            <v>Зниклі безвісти</v>
          </cell>
        </row>
        <row r="632">
          <cell r="B632" t="str">
            <v>Розвідувальний взвод</v>
          </cell>
          <cell r="I632" t="str">
            <v>солд.</v>
          </cell>
          <cell r="M632" t="str">
            <v>солдат</v>
          </cell>
          <cell r="U632" t="str">
            <v>В строю</v>
          </cell>
          <cell r="AE632" t="str">
            <v>На виконанні</v>
          </cell>
        </row>
        <row r="633">
          <cell r="B633" t="str">
            <v>Інженерно-саперне відділення</v>
          </cell>
          <cell r="I633" t="str">
            <v>Серж.</v>
          </cell>
          <cell r="M633" t="str">
            <v>молодший сержант</v>
          </cell>
          <cell r="U633" t="str">
            <v>В строю</v>
          </cell>
          <cell r="AE633" t="str">
            <v>ППД Вишневе</v>
          </cell>
        </row>
        <row r="634">
          <cell r="B634" t="str">
            <v>Інженерно-саперне відділення</v>
          </cell>
          <cell r="I634" t="str">
            <v>солд.</v>
          </cell>
          <cell r="M634" t="str">
            <v>солдат</v>
          </cell>
          <cell r="U634" t="str">
            <v>Відком. за межі ПБ</v>
          </cell>
        </row>
        <row r="635">
          <cell r="B635" t="str">
            <v>Інженерно-саперне відділення</v>
          </cell>
          <cell r="I635" t="str">
            <v>солд.</v>
          </cell>
          <cell r="M635" t="str">
            <v>солдат</v>
          </cell>
          <cell r="U635" t="str">
            <v>Відком. за межі ПБ</v>
          </cell>
          <cell r="AE635" t="str">
            <v>н.п. Барвінково</v>
          </cell>
        </row>
        <row r="636">
          <cell r="B636" t="str">
            <v>Інженерно-саперне відділення</v>
          </cell>
          <cell r="I636" t="str">
            <v>солд.</v>
          </cell>
          <cell r="M636" t="str">
            <v>солдат</v>
          </cell>
          <cell r="U636" t="str">
            <v>В строю</v>
          </cell>
          <cell r="AE636" t="str">
            <v>ППД Вишневе</v>
          </cell>
        </row>
        <row r="637">
          <cell r="B637" t="str">
            <v>Інженерно-саперне відділення</v>
          </cell>
          <cell r="I637" t="str">
            <v>солд.</v>
          </cell>
          <cell r="M637" t="str">
            <v>солдат</v>
          </cell>
          <cell r="U637" t="str">
            <v>В строю</v>
          </cell>
          <cell r="AE637" t="str">
            <v>На виконанні</v>
          </cell>
        </row>
        <row r="638">
          <cell r="B638" t="str">
            <v>Інженерно-саперне відділення</v>
          </cell>
          <cell r="I638" t="str">
            <v>солд.</v>
          </cell>
          <cell r="M638" t="str">
            <v>солдат</v>
          </cell>
          <cell r="U638" t="str">
            <v>В строю</v>
          </cell>
          <cell r="AE638" t="str">
            <v>ППД Вишневе</v>
          </cell>
        </row>
        <row r="639">
          <cell r="B639" t="str">
            <v>Інженерно-саперне відділення</v>
          </cell>
          <cell r="I639" t="str">
            <v>солд.</v>
          </cell>
          <cell r="M639" t="str">
            <v>солдат</v>
          </cell>
          <cell r="U639" t="str">
            <v>В строю</v>
          </cell>
          <cell r="AE639" t="str">
            <v>На виконанні</v>
          </cell>
        </row>
        <row r="640">
          <cell r="B640" t="str">
            <v>Відділення радіоелектронної боротьби</v>
          </cell>
          <cell r="I640" t="str">
            <v>Серж.</v>
          </cell>
          <cell r="M640" t="str">
            <v>молодший сержант</v>
          </cell>
          <cell r="U640" t="str">
            <v>Відком. за межі ПБ</v>
          </cell>
          <cell r="AE640" t="str">
            <v>Вик.БЗ в ін. п-лі</v>
          </cell>
        </row>
        <row r="641">
          <cell r="B641" t="str">
            <v>Відділення радіоелектронної боротьби</v>
          </cell>
          <cell r="I641" t="str">
            <v>солд.</v>
          </cell>
          <cell r="M641" t="str">
            <v>сержант</v>
          </cell>
          <cell r="U641" t="str">
            <v>В строю</v>
          </cell>
          <cell r="AE641" t="str">
            <v>ППД Слов'янка (техніка)</v>
          </cell>
        </row>
        <row r="642">
          <cell r="B642" t="str">
            <v>Відділення радіоелектронної боротьби</v>
          </cell>
          <cell r="I642" t="str">
            <v>солд.</v>
          </cell>
          <cell r="M642" t="str">
            <v>матрос</v>
          </cell>
          <cell r="U642" t="str">
            <v>Зниклі безвісти</v>
          </cell>
        </row>
        <row r="643">
          <cell r="B643" t="str">
            <v>Відділення радіоелектронної боротьби</v>
          </cell>
          <cell r="I643" t="str">
            <v>солд.</v>
          </cell>
          <cell r="M643" t="str">
            <v>солдат</v>
          </cell>
          <cell r="U643" t="str">
            <v>В строю</v>
          </cell>
          <cell r="AE643" t="str">
            <v>КСП Павлоград</v>
          </cell>
        </row>
        <row r="644">
          <cell r="B644" t="str">
            <v>Відділення радіоелектронної боротьби</v>
          </cell>
          <cell r="I644" t="str">
            <v>солд.</v>
          </cell>
          <cell r="M644" t="str">
            <v>солдат</v>
          </cell>
          <cell r="U644" t="str">
            <v>В строю</v>
          </cell>
          <cell r="AE644" t="str">
            <v>На виконанні</v>
          </cell>
        </row>
        <row r="645">
          <cell r="B645" t="str">
            <v>Відділення радіоелектронної боротьби</v>
          </cell>
          <cell r="I645" t="str">
            <v>солд.</v>
          </cell>
          <cell r="M645" t="str">
            <v>солдат</v>
          </cell>
          <cell r="U645" t="str">
            <v>Загиблі</v>
          </cell>
        </row>
        <row r="646">
          <cell r="B646" t="str">
            <v>Відділення радіоелектронної боротьби</v>
          </cell>
          <cell r="I646" t="str">
            <v>солд.</v>
          </cell>
          <cell r="M646" t="str">
            <v>солдат</v>
          </cell>
          <cell r="U646" t="str">
            <v>Відком. за межі ПБ</v>
          </cell>
          <cell r="AE646" t="str">
            <v>Полк</v>
          </cell>
        </row>
        <row r="647">
          <cell r="B647" t="str">
            <v>Відділення радіоелектронної боротьби</v>
          </cell>
          <cell r="I647" t="str">
            <v>солд.</v>
          </cell>
          <cell r="M647" t="str">
            <v>солдат</v>
          </cell>
          <cell r="U647" t="str">
            <v>Відком. за межі ПБ</v>
          </cell>
        </row>
        <row r="648">
          <cell r="B648" t="str">
            <v>Відділення радіоелектронної боротьби</v>
          </cell>
          <cell r="I648" t="str">
            <v>солд.</v>
          </cell>
          <cell r="M648" t="str">
            <v>солдат</v>
          </cell>
          <cell r="U648" t="str">
            <v>В строю</v>
          </cell>
          <cell r="AE648" t="str">
            <v>ППД Вишневе</v>
          </cell>
        </row>
        <row r="649">
          <cell r="B649" t="str">
            <v>Відділення радіоелектронної боротьби</v>
          </cell>
          <cell r="I649" t="str">
            <v>солд.</v>
          </cell>
          <cell r="M649" t="str">
            <v>солдат</v>
          </cell>
          <cell r="U649" t="str">
            <v>В строю</v>
          </cell>
          <cell r="AE649" t="str">
            <v>ППД Слов'янка (13-й)</v>
          </cell>
        </row>
        <row r="650">
          <cell r="B650" t="str">
            <v>Відділення радіоелектронної боротьби</v>
          </cell>
          <cell r="I650" t="str">
            <v>солд.</v>
          </cell>
          <cell r="M650" t="str">
            <v>солдат</v>
          </cell>
          <cell r="U650" t="str">
            <v>Відком. за межі ПБ</v>
          </cell>
          <cell r="AE650" t="str">
            <v>Вик.БЗ в ін. п-лі</v>
          </cell>
        </row>
        <row r="651">
          <cell r="B651" t="str">
            <v>Відділення радіоелектронної боротьби</v>
          </cell>
          <cell r="I651" t="str">
            <v>солд.</v>
          </cell>
          <cell r="M651" t="str">
            <v>молодший сержант</v>
          </cell>
          <cell r="U651" t="str">
            <v>В строю</v>
          </cell>
          <cell r="AE651" t="str">
            <v>ППД Слов'янка (техніка)</v>
          </cell>
        </row>
        <row r="652">
          <cell r="B652" t="str">
            <v>Взвод зв'язку</v>
          </cell>
          <cell r="I652" t="str">
            <v>Серж.</v>
          </cell>
          <cell r="M652" t="str">
            <v>сержант</v>
          </cell>
          <cell r="U652" t="str">
            <v>В строю</v>
          </cell>
          <cell r="AE652" t="str">
            <v>КСП Павлоград</v>
          </cell>
        </row>
        <row r="653">
          <cell r="B653" t="str">
            <v>Взвод зв'язку</v>
          </cell>
          <cell r="I653" t="str">
            <v>Серж.</v>
          </cell>
          <cell r="M653" t="str">
            <v>солдат</v>
          </cell>
          <cell r="U653" t="str">
            <v>Відком. за межі ПБ</v>
          </cell>
          <cell r="AE653" t="str">
            <v>Вик.БЗ в ін. п-лі</v>
          </cell>
        </row>
        <row r="654">
          <cell r="B654" t="str">
            <v>Взвод зв'язку</v>
          </cell>
          <cell r="I654" t="str">
            <v>солд.</v>
          </cell>
          <cell r="M654" t="str">
            <v>солдат</v>
          </cell>
          <cell r="U654" t="str">
            <v>В строю</v>
          </cell>
          <cell r="AE654" t="str">
            <v>На виконанні</v>
          </cell>
        </row>
        <row r="655">
          <cell r="B655" t="str">
            <v>Взвод зв'язку</v>
          </cell>
          <cell r="I655" t="str">
            <v>солд.</v>
          </cell>
          <cell r="M655" t="str">
            <v>солдат</v>
          </cell>
          <cell r="U655" t="str">
            <v>Зниклі безвісти</v>
          </cell>
        </row>
        <row r="656">
          <cell r="B656" t="str">
            <v>Взвод зв'язку</v>
          </cell>
          <cell r="I656" t="str">
            <v>солд.</v>
          </cell>
          <cell r="M656" t="str">
            <v>солдат</v>
          </cell>
          <cell r="U656" t="str">
            <v>В строю</v>
          </cell>
          <cell r="AE656" t="str">
            <v>На виконанні</v>
          </cell>
        </row>
        <row r="657">
          <cell r="B657" t="str">
            <v>Взвод зв'язку</v>
          </cell>
          <cell r="I657" t="str">
            <v>Серж.</v>
          </cell>
          <cell r="M657" t="str">
            <v>молодший сержант</v>
          </cell>
          <cell r="U657" t="str">
            <v>В строю</v>
          </cell>
          <cell r="AE657" t="str">
            <v>ППД Побережжя</v>
          </cell>
        </row>
        <row r="658">
          <cell r="B658" t="str">
            <v>Взвод зв'язку</v>
          </cell>
          <cell r="I658" t="str">
            <v>солд.</v>
          </cell>
        </row>
        <row r="659">
          <cell r="B659" t="str">
            <v>Взвод зв'язку</v>
          </cell>
          <cell r="I659" t="str">
            <v>солд.</v>
          </cell>
          <cell r="M659" t="str">
            <v>солдат</v>
          </cell>
          <cell r="U659" t="str">
            <v>В строю</v>
          </cell>
          <cell r="AE659" t="str">
            <v>КСП Павлоград</v>
          </cell>
        </row>
        <row r="660">
          <cell r="B660" t="str">
            <v>Взвод зв'язку</v>
          </cell>
          <cell r="I660" t="str">
            <v>солд.</v>
          </cell>
          <cell r="M660" t="str">
            <v>солдат</v>
          </cell>
          <cell r="U660" t="str">
            <v>В строю</v>
          </cell>
          <cell r="AE660" t="str">
            <v>ППД Вишневе</v>
          </cell>
        </row>
        <row r="661">
          <cell r="B661" t="str">
            <v>Взвод зв'язку</v>
          </cell>
          <cell r="I661" t="str">
            <v>Серж.</v>
          </cell>
          <cell r="M661" t="str">
            <v>молодший сержант</v>
          </cell>
          <cell r="U661" t="str">
            <v>В строю</v>
          </cell>
          <cell r="AE661" t="str">
            <v>ППД Вишневе</v>
          </cell>
        </row>
        <row r="662">
          <cell r="B662" t="str">
            <v>Взвод зв'язку</v>
          </cell>
          <cell r="I662" t="str">
            <v>солд.</v>
          </cell>
          <cell r="M662" t="str">
            <v>солдат</v>
          </cell>
          <cell r="U662" t="str">
            <v>В строю</v>
          </cell>
          <cell r="AE662" t="str">
            <v>ППД Вишневе</v>
          </cell>
        </row>
        <row r="663">
          <cell r="B663" t="str">
            <v>Взвод зв'язку</v>
          </cell>
          <cell r="I663" t="str">
            <v>солд.</v>
          </cell>
          <cell r="M663" t="str">
            <v>солдат</v>
          </cell>
          <cell r="U663" t="str">
            <v>В строю</v>
          </cell>
          <cell r="AE663" t="str">
            <v>КСП Павлоград</v>
          </cell>
        </row>
        <row r="664">
          <cell r="B664" t="str">
            <v>Взвод зв'язку</v>
          </cell>
          <cell r="I664" t="str">
            <v>солд.</v>
          </cell>
          <cell r="M664" t="str">
            <v>солдат</v>
          </cell>
          <cell r="U664" t="str">
            <v>В строю</v>
          </cell>
          <cell r="AE664" t="str">
            <v>На виконанні</v>
          </cell>
        </row>
        <row r="665">
          <cell r="B665" t="str">
            <v>Взвод зв'язку</v>
          </cell>
          <cell r="I665" t="str">
            <v>Серж.</v>
          </cell>
          <cell r="M665" t="str">
            <v>солдат</v>
          </cell>
          <cell r="U665" t="str">
            <v>Відком. за межі ПБ</v>
          </cell>
          <cell r="AE665" t="str">
            <v>Полігон "Б"</v>
          </cell>
        </row>
        <row r="666">
          <cell r="B666" t="str">
            <v>Взвод зв'язку</v>
          </cell>
          <cell r="I666" t="str">
            <v>солд.</v>
          </cell>
          <cell r="M666" t="str">
            <v>солдат</v>
          </cell>
          <cell r="U666" t="str">
            <v>В строю</v>
          </cell>
          <cell r="AE666" t="str">
            <v>ППД Вишневе</v>
          </cell>
        </row>
        <row r="667">
          <cell r="B667" t="str">
            <v>Взвод зв'язку</v>
          </cell>
          <cell r="I667" t="str">
            <v>солд.</v>
          </cell>
          <cell r="M667" t="str">
            <v>солдат</v>
          </cell>
          <cell r="U667" t="str">
            <v>В строю</v>
          </cell>
          <cell r="AE667" t="str">
            <v>На виконанні</v>
          </cell>
        </row>
        <row r="668">
          <cell r="B668" t="str">
            <v>Взвод зв'язку</v>
          </cell>
          <cell r="I668" t="str">
            <v>солд.</v>
          </cell>
          <cell r="M668" t="str">
            <v>солдат</v>
          </cell>
          <cell r="U668" t="str">
            <v>В строю</v>
          </cell>
          <cell r="AE668" t="str">
            <v>На виконанні</v>
          </cell>
        </row>
        <row r="669">
          <cell r="B669" t="str">
            <v>Взвод зв'язку</v>
          </cell>
          <cell r="I669" t="str">
            <v>солд.</v>
          </cell>
          <cell r="M669" t="str">
            <v>солдат</v>
          </cell>
          <cell r="U669" t="str">
            <v>Лікування</v>
          </cell>
          <cell r="AE669" t="str">
            <v>Шпиталь</v>
          </cell>
        </row>
        <row r="670">
          <cell r="B670" t="str">
            <v>Взвод зв'язку</v>
          </cell>
          <cell r="I670" t="str">
            <v>солд.</v>
          </cell>
          <cell r="M670" t="str">
            <v>солдат</v>
          </cell>
          <cell r="U670" t="str">
            <v>В строю</v>
          </cell>
          <cell r="AE670" t="str">
            <v>ППД Слов'янка (13-й)</v>
          </cell>
        </row>
        <row r="671">
          <cell r="B671" t="str">
            <v>Взвод зв'язку</v>
          </cell>
          <cell r="I671" t="str">
            <v>солд.</v>
          </cell>
          <cell r="M671" t="str">
            <v>солдат</v>
          </cell>
          <cell r="U671" t="str">
            <v>В строю</v>
          </cell>
          <cell r="AE671" t="str">
            <v>ППД Слов'янка (13-й)</v>
          </cell>
        </row>
        <row r="672">
          <cell r="B672" t="str">
            <v>Взвод матеріально-технічного забезпечення</v>
          </cell>
          <cell r="I672" t="str">
            <v>Серж.</v>
          </cell>
          <cell r="M672" t="str">
            <v>сержант</v>
          </cell>
          <cell r="U672" t="str">
            <v>В строю</v>
          </cell>
          <cell r="AE672" t="str">
            <v>ППД Вишневе</v>
          </cell>
        </row>
        <row r="673">
          <cell r="B673" t="str">
            <v>Взвод матеріально-технічного забезпечення</v>
          </cell>
          <cell r="I673" t="str">
            <v>Серж.</v>
          </cell>
        </row>
        <row r="674">
          <cell r="B674" t="str">
            <v>Взвод матеріально-технічного забезпечення</v>
          </cell>
          <cell r="I674" t="str">
            <v>Серж.</v>
          </cell>
          <cell r="M674" t="str">
            <v>молодший сержант</v>
          </cell>
          <cell r="U674" t="str">
            <v>В строю</v>
          </cell>
          <cell r="AE674" t="str">
            <v>ППД Вишневе</v>
          </cell>
        </row>
        <row r="675">
          <cell r="B675" t="str">
            <v>Взвод матеріально-технічного забезпечення</v>
          </cell>
          <cell r="I675" t="str">
            <v>солд.</v>
          </cell>
          <cell r="M675" t="str">
            <v>солдат</v>
          </cell>
          <cell r="U675" t="str">
            <v>В строю</v>
          </cell>
          <cell r="AE675" t="str">
            <v>ППД Вишневе</v>
          </cell>
        </row>
        <row r="676">
          <cell r="B676" t="str">
            <v>Взвод матеріально-технічного забезпечення</v>
          </cell>
          <cell r="I676" t="str">
            <v>солд.</v>
          </cell>
          <cell r="M676" t="str">
            <v>солдат</v>
          </cell>
          <cell r="U676" t="str">
            <v>В строю</v>
          </cell>
          <cell r="AE676" t="str">
            <v>На виконанні</v>
          </cell>
        </row>
        <row r="677">
          <cell r="B677" t="str">
            <v>Взвод матеріально-технічного забезпечення</v>
          </cell>
          <cell r="I677" t="str">
            <v>солд.</v>
          </cell>
          <cell r="M677" t="str">
            <v>солдат</v>
          </cell>
          <cell r="U677" t="str">
            <v>Зниклі безвісти</v>
          </cell>
        </row>
        <row r="678">
          <cell r="B678" t="str">
            <v>Взвод матеріально-технічного забезпечення</v>
          </cell>
          <cell r="I678" t="str">
            <v>солд.</v>
          </cell>
          <cell r="M678" t="str">
            <v>солдат</v>
          </cell>
          <cell r="U678" t="str">
            <v>В строю</v>
          </cell>
          <cell r="AE678" t="str">
            <v>На виконанні</v>
          </cell>
        </row>
        <row r="679">
          <cell r="B679" t="str">
            <v>Взвод матеріально-технічного забезпечення</v>
          </cell>
          <cell r="I679" t="str">
            <v>солд.</v>
          </cell>
          <cell r="M679" t="str">
            <v>солдат</v>
          </cell>
          <cell r="U679" t="str">
            <v>В строю</v>
          </cell>
          <cell r="AE679" t="str">
            <v>ППД Вишневе</v>
          </cell>
        </row>
        <row r="680">
          <cell r="B680" t="str">
            <v>Взвод матеріально-технічного забезпечення</v>
          </cell>
          <cell r="I680" t="str">
            <v>солд.</v>
          </cell>
          <cell r="M680" t="str">
            <v>солдат</v>
          </cell>
          <cell r="U680" t="str">
            <v>В строю</v>
          </cell>
          <cell r="AE680" t="str">
            <v>На виконанні</v>
          </cell>
        </row>
        <row r="681">
          <cell r="B681" t="str">
            <v>Взвод матеріально-технічного забезпечення</v>
          </cell>
          <cell r="I681" t="str">
            <v>солд.</v>
          </cell>
        </row>
        <row r="682">
          <cell r="B682" t="str">
            <v>Взвод матеріально-технічного забезпечення</v>
          </cell>
          <cell r="I682" t="str">
            <v>солд.</v>
          </cell>
        </row>
        <row r="683">
          <cell r="B683" t="str">
            <v>Взвод матеріально-технічного забезпечення</v>
          </cell>
          <cell r="I683" t="str">
            <v>солд.</v>
          </cell>
          <cell r="M683" t="str">
            <v>солдат</v>
          </cell>
          <cell r="U683" t="str">
            <v>В строю</v>
          </cell>
          <cell r="AE683" t="str">
            <v>ППД Слов'янка (13-й)</v>
          </cell>
        </row>
        <row r="684">
          <cell r="B684" t="str">
            <v>Взвод матеріально-технічного забезпечення</v>
          </cell>
          <cell r="I684" t="str">
            <v>солд.</v>
          </cell>
          <cell r="M684" t="str">
            <v>солдат</v>
          </cell>
          <cell r="U684" t="str">
            <v>Відком. за межі ПБ</v>
          </cell>
        </row>
        <row r="685">
          <cell r="B685" t="str">
            <v>Взвод матеріально-технічного забезпечення</v>
          </cell>
          <cell r="I685" t="str">
            <v>Серж.</v>
          </cell>
          <cell r="M685" t="str">
            <v>молодший сержант</v>
          </cell>
          <cell r="U685" t="str">
            <v>В строю</v>
          </cell>
          <cell r="AE685" t="str">
            <v>ППД Вишневе</v>
          </cell>
        </row>
        <row r="686">
          <cell r="B686" t="str">
            <v>Взвод матеріально-технічного забезпечення</v>
          </cell>
          <cell r="I686" t="str">
            <v>солд.</v>
          </cell>
          <cell r="M686" t="str">
            <v>солдат</v>
          </cell>
          <cell r="U686" t="str">
            <v>В строю</v>
          </cell>
          <cell r="AE686" t="str">
            <v>ППД Вишневе</v>
          </cell>
        </row>
        <row r="687">
          <cell r="B687" t="str">
            <v>Взвод матеріально-технічного забезпечення</v>
          </cell>
          <cell r="I687" t="str">
            <v>солд.</v>
          </cell>
          <cell r="M687" t="str">
            <v>солдат</v>
          </cell>
          <cell r="U687" t="str">
            <v>В строю</v>
          </cell>
          <cell r="AE687" t="str">
            <v>ППД Вишневе</v>
          </cell>
        </row>
        <row r="688">
          <cell r="B688" t="str">
            <v>Взвод матеріально-технічного забезпечення</v>
          </cell>
          <cell r="I688" t="str">
            <v>солд.</v>
          </cell>
          <cell r="M688" t="str">
            <v>солдат</v>
          </cell>
          <cell r="U688" t="str">
            <v>В строю</v>
          </cell>
          <cell r="AE688" t="str">
            <v>ППД Вишневе</v>
          </cell>
        </row>
        <row r="689">
          <cell r="B689" t="str">
            <v>Взвод матеріально-технічного забезпечення</v>
          </cell>
          <cell r="I689" t="str">
            <v>солд.</v>
          </cell>
          <cell r="M689" t="str">
            <v>рядовий</v>
          </cell>
          <cell r="U689" t="str">
            <v>В строю</v>
          </cell>
          <cell r="AE689" t="str">
            <v>ППД Вишневе</v>
          </cell>
        </row>
        <row r="690">
          <cell r="B690" t="str">
            <v>Взвод матеріально-технічного забезпечення</v>
          </cell>
          <cell r="I690" t="str">
            <v>Серж.</v>
          </cell>
          <cell r="M690" t="str">
            <v>молодший сержант</v>
          </cell>
          <cell r="U690" t="str">
            <v>В строю</v>
          </cell>
          <cell r="AE690" t="str">
            <v>ППД Вишневе</v>
          </cell>
        </row>
        <row r="691">
          <cell r="B691" t="str">
            <v>Взвод матеріально-технічного забезпечення</v>
          </cell>
          <cell r="I691" t="str">
            <v>солд.</v>
          </cell>
          <cell r="M691" t="str">
            <v>солдат</v>
          </cell>
          <cell r="U691" t="str">
            <v>В строю</v>
          </cell>
          <cell r="AE691" t="str">
            <v>На виконанні</v>
          </cell>
        </row>
        <row r="692">
          <cell r="B692" t="str">
            <v>Взвод матеріально-технічного забезпечення</v>
          </cell>
          <cell r="I692" t="str">
            <v>солд.</v>
          </cell>
          <cell r="M692" t="str">
            <v>рядовий</v>
          </cell>
          <cell r="U692" t="str">
            <v>Відком. за межі ПБ</v>
          </cell>
        </row>
        <row r="693">
          <cell r="B693" t="str">
            <v>Взвод матеріально-технічного забезпечення</v>
          </cell>
          <cell r="I693" t="str">
            <v>Солд.</v>
          </cell>
          <cell r="M693" t="str">
            <v>солдат</v>
          </cell>
          <cell r="U693" t="str">
            <v>В строю</v>
          </cell>
          <cell r="AE693" t="str">
            <v>ППД Слов'янка (13-й)</v>
          </cell>
        </row>
        <row r="694">
          <cell r="B694" t="str">
            <v>Взвод матеріально-технічного забезпечення</v>
          </cell>
          <cell r="I694" t="str">
            <v>солд.</v>
          </cell>
          <cell r="M694" t="str">
            <v>солдат</v>
          </cell>
          <cell r="U694" t="str">
            <v>В строю</v>
          </cell>
          <cell r="AE694" t="str">
            <v>ППД Слов'янка (13-й)</v>
          </cell>
        </row>
        <row r="695">
          <cell r="B695" t="str">
            <v>Взвод матеріально-технічного забезпечення</v>
          </cell>
          <cell r="I695" t="str">
            <v>Серж.</v>
          </cell>
          <cell r="M695" t="str">
            <v>головний сержант</v>
          </cell>
          <cell r="U695" t="str">
            <v>В строю</v>
          </cell>
          <cell r="AE695" t="str">
            <v>ППД Вишневе</v>
          </cell>
        </row>
        <row r="696">
          <cell r="B696" t="str">
            <v>Взвод матеріально-технічного забезпечення</v>
          </cell>
          <cell r="I696" t="str">
            <v>солд.</v>
          </cell>
          <cell r="M696" t="str">
            <v>солдат</v>
          </cell>
          <cell r="U696" t="str">
            <v>В строю</v>
          </cell>
          <cell r="AE696" t="str">
            <v>ППД Вишневе</v>
          </cell>
        </row>
        <row r="697">
          <cell r="B697" t="str">
            <v>Взвод матеріально-технічного забезпечення</v>
          </cell>
          <cell r="I697" t="str">
            <v>Серж.</v>
          </cell>
          <cell r="M697" t="str">
            <v>молодший сержант</v>
          </cell>
          <cell r="U697" t="str">
            <v>В строю</v>
          </cell>
          <cell r="AE697" t="str">
            <v>ППД Вишневе</v>
          </cell>
        </row>
        <row r="698">
          <cell r="B698" t="str">
            <v>Взвод матеріально-технічного забезпечення</v>
          </cell>
          <cell r="I698" t="str">
            <v>солд.</v>
          </cell>
          <cell r="M698" t="str">
            <v>солдат</v>
          </cell>
          <cell r="U698" t="str">
            <v>В строю</v>
          </cell>
          <cell r="AE698" t="str">
            <v>ППД Самарське (літуни)</v>
          </cell>
        </row>
        <row r="699">
          <cell r="B699" t="str">
            <v>Взвод матеріально-технічного забезпечення</v>
          </cell>
          <cell r="I699" t="str">
            <v>солд.</v>
          </cell>
          <cell r="M699" t="str">
            <v>солдат</v>
          </cell>
          <cell r="U699" t="str">
            <v>В строю</v>
          </cell>
          <cell r="AE699" t="str">
            <v>ЄКЦ Павлоград</v>
          </cell>
        </row>
        <row r="700">
          <cell r="B700" t="str">
            <v>Медичний пункт</v>
          </cell>
          <cell r="I700" t="str">
            <v>Оф.</v>
          </cell>
          <cell r="M700" t="str">
            <v>лейтенант м/с</v>
          </cell>
          <cell r="U700" t="str">
            <v>В строю</v>
          </cell>
          <cell r="AE700" t="str">
            <v>ППД Вишневе</v>
          </cell>
        </row>
        <row r="701">
          <cell r="B701" t="str">
            <v>Медичний пункт</v>
          </cell>
          <cell r="I701" t="str">
            <v>Серж.</v>
          </cell>
          <cell r="M701" t="str">
            <v>сержант</v>
          </cell>
          <cell r="U701" t="str">
            <v>В строю</v>
          </cell>
          <cell r="AE701" t="str">
            <v>ППД Вишневе</v>
          </cell>
        </row>
        <row r="702">
          <cell r="B702" t="str">
            <v>Медичний пункт</v>
          </cell>
          <cell r="I702" t="str">
            <v>Серж.</v>
          </cell>
          <cell r="M702" t="str">
            <v>молодший сержант</v>
          </cell>
          <cell r="U702" t="str">
            <v>В строю</v>
          </cell>
          <cell r="AE702" t="str">
            <v>ППД Вишневе</v>
          </cell>
        </row>
        <row r="703">
          <cell r="B703" t="str">
            <v>Медичний пункт</v>
          </cell>
          <cell r="I703" t="str">
            <v>Серж.</v>
          </cell>
          <cell r="M703" t="str">
            <v>солдат</v>
          </cell>
          <cell r="U703" t="str">
            <v>Загиблі</v>
          </cell>
        </row>
        <row r="704">
          <cell r="B704" t="str">
            <v>Медичний пункт</v>
          </cell>
          <cell r="I704" t="str">
            <v>солд.</v>
          </cell>
          <cell r="M704" t="str">
            <v>солдат</v>
          </cell>
          <cell r="U704" t="str">
            <v>В строю</v>
          </cell>
          <cell r="AE704" t="str">
            <v>ППД Вишневе</v>
          </cell>
        </row>
        <row r="705">
          <cell r="B705" t="str">
            <v>Медичний пункт</v>
          </cell>
          <cell r="I705" t="str">
            <v>солд.</v>
          </cell>
          <cell r="M705" t="str">
            <v>солдат</v>
          </cell>
          <cell r="U705" t="str">
            <v>В строю</v>
          </cell>
          <cell r="AE705" t="str">
            <v>ППД Вишневе</v>
          </cell>
        </row>
        <row r="706">
          <cell r="B706" t="str">
            <v>Медичний пункт</v>
          </cell>
          <cell r="I706" t="str">
            <v>солд.</v>
          </cell>
          <cell r="M706" t="str">
            <v>солдат</v>
          </cell>
          <cell r="U706" t="str">
            <v>В строю</v>
          </cell>
          <cell r="AE706" t="str">
            <v>ППД Вишневе</v>
          </cell>
        </row>
        <row r="707">
          <cell r="B707" t="str">
            <v>Медичний пункт</v>
          </cell>
          <cell r="I707" t="str">
            <v>солд.</v>
          </cell>
          <cell r="M707" t="str">
            <v>молодший сержант</v>
          </cell>
          <cell r="U707" t="str">
            <v>В строю</v>
          </cell>
          <cell r="AE707" t="str">
            <v>ППД Слов'янка (Аптекар)</v>
          </cell>
        </row>
        <row r="708">
          <cell r="B708" t="str">
            <v>Медичний пункт</v>
          </cell>
          <cell r="I708" t="str">
            <v>солд.</v>
          </cell>
          <cell r="M708" t="str">
            <v>солдат</v>
          </cell>
          <cell r="U708" t="str">
            <v>В строю</v>
          </cell>
          <cell r="AE708" t="str">
            <v>ППД Вишневе</v>
          </cell>
        </row>
        <row r="709">
          <cell r="B709" t="str">
            <v>Медичний пункт</v>
          </cell>
          <cell r="I709" t="str">
            <v>солд.</v>
          </cell>
          <cell r="M709" t="str">
            <v>молодший сержант</v>
          </cell>
          <cell r="U709" t="str">
            <v>В строю</v>
          </cell>
          <cell r="AE709" t="str">
            <v>ППД Вишневе</v>
          </cell>
        </row>
        <row r="710">
          <cell r="B710" t="str">
            <v>Медичний пункт</v>
          </cell>
          <cell r="I710" t="str">
            <v>солд.</v>
          </cell>
          <cell r="M710" t="str">
            <v>солдат</v>
          </cell>
          <cell r="U710" t="str">
            <v>В строю</v>
          </cell>
          <cell r="AE710" t="str">
            <v>ППД Вишневе</v>
          </cell>
        </row>
        <row r="712">
          <cell r="B712" t="str">
            <v>ПРИКОМАНДИРОВАНІ</v>
          </cell>
          <cell r="M712" t="str">
            <v>молодший сержант</v>
          </cell>
          <cell r="U712" t="str">
            <v>В строю</v>
          </cell>
          <cell r="AE712" t="str">
            <v>ППД Вишневе</v>
          </cell>
        </row>
        <row r="713">
          <cell r="B713" t="str">
            <v>ПРИКОМАНДИРОВАНІ</v>
          </cell>
          <cell r="M713" t="str">
            <v>молодший сержант</v>
          </cell>
          <cell r="U713" t="str">
            <v>В строю</v>
          </cell>
          <cell r="AE713" t="str">
            <v>ППД Вишневе</v>
          </cell>
        </row>
        <row r="714">
          <cell r="B714" t="str">
            <v>ПРИКОМАНДИРОВАНІ</v>
          </cell>
          <cell r="M714" t="str">
            <v>молодший сержант</v>
          </cell>
          <cell r="U714" t="str">
            <v>В строю</v>
          </cell>
          <cell r="AE714" t="str">
            <v>ППД Вишневе</v>
          </cell>
        </row>
        <row r="715">
          <cell r="B715" t="str">
            <v>ПРИКОМАНДИРОВАНІ</v>
          </cell>
          <cell r="M715" t="str">
            <v>солдат</v>
          </cell>
          <cell r="U715" t="str">
            <v>В строю</v>
          </cell>
          <cell r="AE715" t="str">
            <v>ППД Вишневе</v>
          </cell>
        </row>
        <row r="716">
          <cell r="B716" t="str">
            <v>ПРИКОМАНДИРОВАНІ</v>
          </cell>
          <cell r="M716" t="str">
            <v>молодший сержант</v>
          </cell>
          <cell r="U716" t="str">
            <v>В строю</v>
          </cell>
          <cell r="AE716" t="str">
            <v>ППД Вишневе</v>
          </cell>
        </row>
        <row r="717">
          <cell r="B717" t="str">
            <v>ПРИКОМАНДИРОВАНІ</v>
          </cell>
          <cell r="M717" t="str">
            <v>молодший сержант</v>
          </cell>
          <cell r="U717" t="str">
            <v>В строю</v>
          </cell>
          <cell r="AE717" t="str">
            <v>ППД Вишневе</v>
          </cell>
        </row>
        <row r="719">
          <cell r="B719" t="str">
            <v>ПРИКОМАНДИРОВАНІ</v>
          </cell>
          <cell r="I719" t="str">
            <v>солд.</v>
          </cell>
          <cell r="M719" t="str">
            <v>солдат</v>
          </cell>
          <cell r="U719" t="str">
            <v>Лікування</v>
          </cell>
          <cell r="AE719" t="str">
            <v>Шпиталь</v>
          </cell>
        </row>
        <row r="720">
          <cell r="B720" t="str">
            <v>ПРИКОМАНДИРОВАНІ</v>
          </cell>
          <cell r="I720" t="str">
            <v>солд.</v>
          </cell>
          <cell r="M720" t="str">
            <v>солдат</v>
          </cell>
          <cell r="U720" t="str">
            <v>Лікування</v>
          </cell>
          <cell r="AE720" t="str">
            <v>Шпиталь</v>
          </cell>
        </row>
        <row r="722">
          <cell r="B722" t="str">
            <v>ПРИКОМАНДИРОВАНІ</v>
          </cell>
          <cell r="M722" t="str">
            <v>молодший сержант</v>
          </cell>
          <cell r="U722" t="str">
            <v>Лікування</v>
          </cell>
          <cell r="AE722" t="str">
            <v>Шпиталь</v>
          </cell>
        </row>
        <row r="723">
          <cell r="B723" t="str">
            <v>ПРИКОМАНДИРОВАНІ</v>
          </cell>
          <cell r="M723" t="str">
            <v>солдат</v>
          </cell>
          <cell r="U723" t="str">
            <v>В строю</v>
          </cell>
          <cell r="AE723" t="str">
            <v>ППД Лугова (літуни)</v>
          </cell>
        </row>
        <row r="724">
          <cell r="B724" t="str">
            <v>ПРИКОМАНДИРОВАНІ</v>
          </cell>
          <cell r="M724" t="str">
            <v>солдат</v>
          </cell>
          <cell r="U724" t="str">
            <v>Від-ні навчання</v>
          </cell>
        </row>
        <row r="725">
          <cell r="B725" t="str">
            <v>ПРИКОМАНДИРОВАНІ</v>
          </cell>
          <cell r="M725" t="str">
            <v>солдат</v>
          </cell>
          <cell r="U725" t="str">
            <v>Від-ні навчання</v>
          </cell>
        </row>
        <row r="726">
          <cell r="B726" t="str">
            <v>ПРИКОМАНДИРОВАНІ</v>
          </cell>
          <cell r="M726" t="str">
            <v>солдат</v>
          </cell>
          <cell r="U726" t="str">
            <v>Відком. за межі ПБ</v>
          </cell>
        </row>
        <row r="727">
          <cell r="B727" t="str">
            <v>ПРИКОМАНДИРОВАНІ</v>
          </cell>
          <cell r="M727" t="str">
            <v>солдат</v>
          </cell>
          <cell r="U727" t="str">
            <v>В строю</v>
          </cell>
          <cell r="AE727" t="str">
            <v>На виконанні</v>
          </cell>
        </row>
        <row r="729">
          <cell r="B729" t="str">
            <v>ПРИКОМАНДИРОВАНІ</v>
          </cell>
          <cell r="I729" t="str">
            <v>солд.</v>
          </cell>
          <cell r="M729" t="str">
            <v>солдат</v>
          </cell>
          <cell r="U729" t="str">
            <v>В строю</v>
          </cell>
          <cell r="AE729" t="str">
            <v>ППД Вишневе</v>
          </cell>
        </row>
        <row r="730">
          <cell r="B730" t="str">
            <v>ПРИКОМАНДИРОВАНІ</v>
          </cell>
          <cell r="I730" t="str">
            <v>солд.</v>
          </cell>
          <cell r="M730" t="str">
            <v>солдат</v>
          </cell>
          <cell r="U730" t="str">
            <v>В строю</v>
          </cell>
          <cell r="AE730" t="str">
            <v>ППД Вишневе</v>
          </cell>
        </row>
        <row r="731">
          <cell r="B731" t="str">
            <v>БРЕЗ</v>
          </cell>
          <cell r="M731" t="str">
            <v>солдат</v>
          </cell>
          <cell r="U731" t="str">
            <v>В строю</v>
          </cell>
          <cell r="AE731" t="str">
            <v>ППД Вишневе</v>
          </cell>
        </row>
        <row r="732">
          <cell r="B732" t="str">
            <v>ПРИКОМАНДИРОВАНІ</v>
          </cell>
          <cell r="I732" t="str">
            <v>Серж.</v>
          </cell>
          <cell r="M732" t="str">
            <v>солдат</v>
          </cell>
          <cell r="U732" t="str">
            <v>В строю</v>
          </cell>
          <cell r="AE732" t="str">
            <v>ППД Вишневе</v>
          </cell>
        </row>
        <row r="733">
          <cell r="B733" t="str">
            <v>ПРИКОМАНДИРОВАНІ</v>
          </cell>
          <cell r="M733" t="str">
            <v>штаб сержант</v>
          </cell>
          <cell r="U733" t="str">
            <v>В строю</v>
          </cell>
          <cell r="AE733" t="str">
            <v>ППД Вишневе</v>
          </cell>
        </row>
        <row r="734">
          <cell r="B734" t="str">
            <v>ПРИКОМАНДИРОВАНІ</v>
          </cell>
          <cell r="M734" t="str">
            <v>молодший сержант</v>
          </cell>
          <cell r="U734" t="str">
            <v>В строю</v>
          </cell>
          <cell r="AE734" t="str">
            <v>ППД Вишневе</v>
          </cell>
        </row>
        <row r="735">
          <cell r="B735" t="str">
            <v>ПРИКОМАНДИРОВАНІ</v>
          </cell>
          <cell r="M735" t="str">
            <v>молодший сержант</v>
          </cell>
          <cell r="U735" t="str">
            <v>В строю</v>
          </cell>
          <cell r="AE735" t="str">
            <v>ППД Вишневе</v>
          </cell>
        </row>
        <row r="736">
          <cell r="B736" t="str">
            <v>ПРИКОМАНДИРОВАНІ</v>
          </cell>
          <cell r="M736" t="str">
            <v>молодший сержант</v>
          </cell>
          <cell r="U736" t="str">
            <v>В строю</v>
          </cell>
          <cell r="AE736" t="str">
            <v>ППД Вишневе</v>
          </cell>
        </row>
        <row r="737">
          <cell r="B737" t="str">
            <v>ПРИКОМАНДИРОВАНІ</v>
          </cell>
          <cell r="M737" t="str">
            <v>молодший сержант</v>
          </cell>
          <cell r="U737" t="str">
            <v>В строю</v>
          </cell>
          <cell r="AE737" t="str">
            <v>ППД Вишневе</v>
          </cell>
        </row>
        <row r="738">
          <cell r="B738" t="str">
            <v>ПРИКОМАНДИРОВАНІ</v>
          </cell>
          <cell r="M738" t="str">
            <v>молодший сержант</v>
          </cell>
          <cell r="U738" t="str">
            <v>В строю</v>
          </cell>
          <cell r="AE738" t="str">
            <v>ППД Петропавлівка (літуни)</v>
          </cell>
        </row>
        <row r="739">
          <cell r="B739" t="str">
            <v>БРЕЗ</v>
          </cell>
          <cell r="M739" t="str">
            <v>солдат</v>
          </cell>
          <cell r="U739" t="str">
            <v>Новоприбулий</v>
          </cell>
          <cell r="AE739" t="str">
            <v>ППД Вишневе</v>
          </cell>
        </row>
        <row r="740">
          <cell r="B740" t="str">
            <v>БРЕЗ</v>
          </cell>
          <cell r="M740" t="str">
            <v>солдат</v>
          </cell>
          <cell r="U740" t="str">
            <v>Новоприбулий</v>
          </cell>
          <cell r="AE740" t="str">
            <v>ППД Вишневе</v>
          </cell>
        </row>
        <row r="741">
          <cell r="B741" t="str">
            <v>БРЕЗ</v>
          </cell>
          <cell r="M741" t="str">
            <v>солдат</v>
          </cell>
          <cell r="U741" t="str">
            <v>Лікування</v>
          </cell>
          <cell r="AE741" t="str">
            <v>Шпиталь</v>
          </cell>
        </row>
        <row r="742">
          <cell r="B742" t="str">
            <v>ПРИКОМАНДИРОВАНІ</v>
          </cell>
          <cell r="M742" t="str">
            <v>солдат</v>
          </cell>
          <cell r="U742" t="str">
            <v>Новоприбулий</v>
          </cell>
          <cell r="AE742" t="str">
            <v>ППД Вишневе</v>
          </cell>
        </row>
        <row r="743">
          <cell r="B743" t="str">
            <v>ПРИКОМАНДИРОВАНІ</v>
          </cell>
          <cell r="M743" t="str">
            <v>солдат</v>
          </cell>
          <cell r="U743" t="str">
            <v>Зниклі безвісти</v>
          </cell>
        </row>
        <row r="744">
          <cell r="B744" t="str">
            <v>ПРИКОМАНДИРОВАНІ</v>
          </cell>
          <cell r="M744" t="str">
            <v>лейтенант</v>
          </cell>
          <cell r="U744" t="str">
            <v>В строю</v>
          </cell>
          <cell r="AE744" t="str">
            <v>ППД Вишневе</v>
          </cell>
        </row>
        <row r="745">
          <cell r="B745" t="str">
            <v>ПРИКОМАНДИРОВАНІ</v>
          </cell>
          <cell r="M745" t="str">
            <v>солдат</v>
          </cell>
          <cell r="U745" t="str">
            <v>Лікування</v>
          </cell>
          <cell r="AE745" t="str">
            <v>Мед. рота</v>
          </cell>
        </row>
        <row r="746">
          <cell r="B746" t="str">
            <v>БРЕЗ</v>
          </cell>
          <cell r="M746" t="str">
            <v>солдат</v>
          </cell>
          <cell r="U746" t="str">
            <v>Новоприбулий</v>
          </cell>
          <cell r="AE746" t="str">
            <v>ППД Вишневе</v>
          </cell>
        </row>
        <row r="747">
          <cell r="B747" t="str">
            <v>ПРИКОМАНДИРОВАНІ</v>
          </cell>
          <cell r="M747" t="str">
            <v>солдат</v>
          </cell>
          <cell r="U747" t="str">
            <v>Новоприбулий</v>
          </cell>
          <cell r="AE747" t="str">
            <v>ППД Вишневе</v>
          </cell>
        </row>
        <row r="748">
          <cell r="B748" t="str">
            <v>БРЕЗ</v>
          </cell>
          <cell r="M748" t="str">
            <v>солдат</v>
          </cell>
          <cell r="U748" t="str">
            <v>Відком. за межі ПБ</v>
          </cell>
        </row>
        <row r="749">
          <cell r="B749" t="str">
            <v>БРЕЗ</v>
          </cell>
          <cell r="M749" t="str">
            <v>солдат</v>
          </cell>
          <cell r="U749" t="str">
            <v>Лікування</v>
          </cell>
          <cell r="AE749" t="str">
            <v>Мед. рота</v>
          </cell>
        </row>
        <row r="750">
          <cell r="B750" t="str">
            <v>ПРИКОМАНДИРОВАНІ</v>
          </cell>
          <cell r="M750" t="str">
            <v>солдат</v>
          </cell>
          <cell r="U750" t="str">
            <v>Лікування</v>
          </cell>
          <cell r="AE750" t="str">
            <v>Шпиталь</v>
          </cell>
        </row>
        <row r="751">
          <cell r="B751" t="str">
            <v>БРЕЗ</v>
          </cell>
          <cell r="M751" t="str">
            <v>солдат</v>
          </cell>
          <cell r="U751" t="str">
            <v>Новоприбулий</v>
          </cell>
          <cell r="AE751" t="str">
            <v>ППД Вишневе</v>
          </cell>
        </row>
        <row r="752">
          <cell r="B752" t="str">
            <v>ПРИКОМАНДИРОВАНІ</v>
          </cell>
          <cell r="M752" t="str">
            <v>солдат</v>
          </cell>
          <cell r="U752" t="str">
            <v>Лікування</v>
          </cell>
          <cell r="AE752" t="str">
            <v>Мед. рота</v>
          </cell>
        </row>
        <row r="753">
          <cell r="B753" t="str">
            <v>ПРИКОМАНДИРОВАНІ</v>
          </cell>
          <cell r="M753" t="str">
            <v>солдат</v>
          </cell>
          <cell r="U753" t="str">
            <v>Лікування</v>
          </cell>
          <cell r="AE753" t="str">
            <v>Мед. рота</v>
          </cell>
        </row>
        <row r="754">
          <cell r="B754" t="str">
            <v>ПРИКОМАНДИРОВАНІ</v>
          </cell>
          <cell r="M754" t="str">
            <v>солдат</v>
          </cell>
          <cell r="U754" t="str">
            <v>Лікування</v>
          </cell>
          <cell r="AE754" t="str">
            <v>Мед. рота</v>
          </cell>
        </row>
        <row r="755">
          <cell r="B755" t="str">
            <v>ПРИКОМАНДИРОВАНІ</v>
          </cell>
          <cell r="M755" t="str">
            <v>молодший сержант</v>
          </cell>
          <cell r="U755" t="str">
            <v>Лікування</v>
          </cell>
          <cell r="AE755" t="str">
            <v>Мед. рота</v>
          </cell>
        </row>
        <row r="756">
          <cell r="B756" t="str">
            <v>ПРИКОМАНДИРОВАНІ</v>
          </cell>
          <cell r="M756" t="str">
            <v>молодший лейтенант</v>
          </cell>
          <cell r="U756" t="str">
            <v>В строю</v>
          </cell>
          <cell r="AE756" t="str">
            <v>ППД Вишневе</v>
          </cell>
        </row>
        <row r="757">
          <cell r="B757" t="str">
            <v>ПРИКОМАНДИРОВАНІ</v>
          </cell>
          <cell r="M757" t="str">
            <v>старший лейтенант</v>
          </cell>
          <cell r="U757" t="str">
            <v>В строю</v>
          </cell>
          <cell r="AE757" t="str">
            <v>КСП Павлоград</v>
          </cell>
        </row>
        <row r="758">
          <cell r="B758" t="str">
            <v>ПРИКОМАНДИРОВАНІ</v>
          </cell>
          <cell r="M758" t="str">
            <v>лейтенант</v>
          </cell>
          <cell r="U758" t="str">
            <v>В строю</v>
          </cell>
          <cell r="AE758" t="str">
            <v>КСП Павлоград</v>
          </cell>
        </row>
        <row r="759">
          <cell r="B759" t="str">
            <v>ПРИКОМАНДИРОВАНІ</v>
          </cell>
          <cell r="M759" t="str">
            <v>солдат</v>
          </cell>
          <cell r="U759" t="str">
            <v>Лікування</v>
          </cell>
          <cell r="AE759" t="str">
            <v>Відпустка лікув.</v>
          </cell>
        </row>
        <row r="760">
          <cell r="B760" t="str">
            <v>ПРИКОМАНДИРОВАНІ</v>
          </cell>
          <cell r="M760" t="str">
            <v>солдат</v>
          </cell>
          <cell r="U760" t="str">
            <v>Новоприбулий</v>
          </cell>
          <cell r="AE760" t="str">
            <v>ППД Вишневе</v>
          </cell>
        </row>
        <row r="762">
          <cell r="B762" t="str">
            <v>БРЕЗ</v>
          </cell>
          <cell r="M762" t="str">
            <v>старшина</v>
          </cell>
          <cell r="U762" t="str">
            <v>Новоприбулий</v>
          </cell>
          <cell r="AE762" t="str">
            <v>ППД Вишневе</v>
          </cell>
        </row>
        <row r="763">
          <cell r="B763" t="str">
            <v>БРЕЗ</v>
          </cell>
          <cell r="M763" t="str">
            <v>солдат</v>
          </cell>
          <cell r="U763" t="str">
            <v>Новоприбулий</v>
          </cell>
          <cell r="AE763" t="str">
            <v>ППД Вишневе</v>
          </cell>
        </row>
        <row r="764">
          <cell r="B764" t="str">
            <v>ПРИКОМАНДИРОВАНІ</v>
          </cell>
          <cell r="M764" t="str">
            <v>солдат</v>
          </cell>
          <cell r="U764" t="str">
            <v>Лікування</v>
          </cell>
          <cell r="AE764" t="str">
            <v>Шпиталь</v>
          </cell>
        </row>
        <row r="765">
          <cell r="B765" t="str">
            <v>ПРИКОМАНДИРОВАНІ</v>
          </cell>
          <cell r="M765" t="str">
            <v>солдат</v>
          </cell>
          <cell r="U765" t="str">
            <v>Лікування</v>
          </cell>
          <cell r="AE765" t="str">
            <v>Відпустка лікув.</v>
          </cell>
        </row>
        <row r="766">
          <cell r="B766" t="str">
            <v>ПРИКОМАНДИРОВАНІ</v>
          </cell>
          <cell r="M766" t="str">
            <v>лейтенант</v>
          </cell>
          <cell r="U766" t="str">
            <v>В строю</v>
          </cell>
          <cell r="AE766" t="str">
            <v>ППД Побережжя</v>
          </cell>
        </row>
        <row r="767">
          <cell r="B767" t="str">
            <v>ПРИКОМАНДИРОВАНІ</v>
          </cell>
          <cell r="M767" t="str">
            <v>старший лейтенант</v>
          </cell>
          <cell r="U767" t="str">
            <v>В строю</v>
          </cell>
          <cell r="AE767" t="str">
            <v>КСП Павлоград</v>
          </cell>
        </row>
        <row r="768">
          <cell r="B768" t="str">
            <v>ПРИКОМАНДИРОВАНІ</v>
          </cell>
          <cell r="M768" t="str">
            <v>солдат</v>
          </cell>
          <cell r="U768" t="str">
            <v>Лікування</v>
          </cell>
          <cell r="AE768" t="str">
            <v>Відпустка лікув.</v>
          </cell>
        </row>
        <row r="769">
          <cell r="B769" t="str">
            <v>БРЕЗ</v>
          </cell>
          <cell r="M769" t="str">
            <v>старший солдат</v>
          </cell>
          <cell r="U769" t="str">
            <v>Новоприбулий</v>
          </cell>
          <cell r="AE769" t="str">
            <v>ППД Вишневе</v>
          </cell>
        </row>
        <row r="771">
          <cell r="B771" t="str">
            <v>ПРИКОМАНДИРОВАНІ</v>
          </cell>
          <cell r="M771" t="str">
            <v>солдат</v>
          </cell>
          <cell r="U771" t="str">
            <v>Лікування</v>
          </cell>
          <cell r="AE771" t="str">
            <v>Відпустка лікув.</v>
          </cell>
        </row>
        <row r="772">
          <cell r="B772" t="str">
            <v>БРЕЗ</v>
          </cell>
          <cell r="M772" t="str">
            <v>солдат</v>
          </cell>
          <cell r="U772" t="str">
            <v>Новоприбулий</v>
          </cell>
          <cell r="AE772" t="str">
            <v>ППД Вишневе</v>
          </cell>
        </row>
        <row r="773">
          <cell r="B773" t="str">
            <v>ПРИКОМАНДИРОВАНІ</v>
          </cell>
          <cell r="M773" t="str">
            <v>молодший лейтенант</v>
          </cell>
          <cell r="U773" t="str">
            <v>В строю</v>
          </cell>
          <cell r="AE773" t="str">
            <v>ППД Побережжя</v>
          </cell>
        </row>
        <row r="774">
          <cell r="B774" t="str">
            <v>ПРИКОМАНДИРОВАНІ</v>
          </cell>
          <cell r="M774" t="str">
            <v>солдат</v>
          </cell>
          <cell r="U774" t="str">
            <v>Лікування</v>
          </cell>
          <cell r="AE774" t="str">
            <v>Відпустка лікув.</v>
          </cell>
        </row>
        <row r="776">
          <cell r="B776" t="str">
            <v>ПРИКОМАНДИРОВАНІ</v>
          </cell>
          <cell r="M776" t="str">
            <v>солдат</v>
          </cell>
          <cell r="U776" t="str">
            <v>Лікування</v>
          </cell>
          <cell r="AE776" t="str">
            <v>Відпустка лікув.</v>
          </cell>
        </row>
        <row r="777">
          <cell r="B777" t="str">
            <v>ПРИКОМАНДИРОВАНІ</v>
          </cell>
          <cell r="M777" t="str">
            <v>старший лейтенант</v>
          </cell>
          <cell r="U777" t="str">
            <v>В строю</v>
          </cell>
          <cell r="AE777" t="str">
            <v>КСП Павлоград</v>
          </cell>
        </row>
        <row r="778">
          <cell r="B778" t="str">
            <v>ПРИКОМАНДИРОВАНІ</v>
          </cell>
          <cell r="M778" t="str">
            <v>молодший сержант</v>
          </cell>
          <cell r="U778" t="str">
            <v>В строю</v>
          </cell>
          <cell r="AE778" t="str">
            <v>ППД Вишневе</v>
          </cell>
        </row>
        <row r="779">
          <cell r="B779" t="str">
            <v>ПРИКОМАНДИРОВАНІ</v>
          </cell>
          <cell r="M779" t="str">
            <v>солдат</v>
          </cell>
          <cell r="U779" t="str">
            <v>Лікування</v>
          </cell>
          <cell r="AE779" t="str">
            <v>Відпустка лікув.</v>
          </cell>
        </row>
        <row r="780">
          <cell r="B780" t="str">
            <v>ПРИКОМАНДИРОВАНІ</v>
          </cell>
          <cell r="M780" t="str">
            <v>молодший лейтенант</v>
          </cell>
          <cell r="U780" t="str">
            <v>В строю</v>
          </cell>
          <cell r="AE780" t="str">
            <v>КСП Павлоград</v>
          </cell>
        </row>
        <row r="781">
          <cell r="B781" t="str">
            <v>ПРИКОМАНДИРОВАНІ</v>
          </cell>
          <cell r="M781" t="str">
            <v>молодший лейтенант</v>
          </cell>
          <cell r="U781" t="str">
            <v>В строю</v>
          </cell>
          <cell r="AE781" t="str">
            <v>ППД Вишневе</v>
          </cell>
        </row>
        <row r="782">
          <cell r="B782" t="str">
            <v>ПРИКОМАНДИРОВАНІ</v>
          </cell>
          <cell r="M782" t="str">
            <v>молодший лейтенант</v>
          </cell>
          <cell r="U782" t="str">
            <v>Відрядження</v>
          </cell>
        </row>
        <row r="783">
          <cell r="B783" t="str">
            <v>ПРИКОМАНДИРОВАНІ</v>
          </cell>
          <cell r="M783" t="str">
            <v>лейтенант</v>
          </cell>
          <cell r="U783" t="str">
            <v>В строю</v>
          </cell>
          <cell r="AE783" t="str">
            <v>ППД Вишневе</v>
          </cell>
        </row>
        <row r="784">
          <cell r="B784" t="str">
            <v>ПРИКОМАНДИРОВАНІ</v>
          </cell>
          <cell r="M784" t="str">
            <v>солдат</v>
          </cell>
          <cell r="U784" t="str">
            <v>Лікування</v>
          </cell>
          <cell r="AE784" t="str">
            <v>Мед. рота</v>
          </cell>
        </row>
        <row r="785">
          <cell r="B785" t="str">
            <v>ПРИКОМАНДИРОВАНІ</v>
          </cell>
          <cell r="M785" t="str">
            <v>солдат</v>
          </cell>
          <cell r="U785" t="str">
            <v>Лікування</v>
          </cell>
          <cell r="AE785" t="str">
            <v>Мед. рота</v>
          </cell>
        </row>
        <row r="786">
          <cell r="B786" t="str">
            <v>БРЕЗ</v>
          </cell>
          <cell r="M786" t="str">
            <v>молодший сержант</v>
          </cell>
          <cell r="U786" t="str">
            <v>Зниклі безвісти</v>
          </cell>
        </row>
        <row r="787">
          <cell r="B787" t="str">
            <v>ПРИКОМАНДИРОВАНІ</v>
          </cell>
          <cell r="M787" t="str">
            <v>солдат</v>
          </cell>
          <cell r="U787" t="str">
            <v>Лікування</v>
          </cell>
          <cell r="AE787" t="str">
            <v>Відпустка лікув.</v>
          </cell>
        </row>
        <row r="789">
          <cell r="B789" t="str">
            <v>ПРИКОМАНДИРОВАНІ</v>
          </cell>
          <cell r="M789" t="str">
            <v>солдат</v>
          </cell>
          <cell r="U789" t="str">
            <v>Лікування</v>
          </cell>
          <cell r="AE789" t="str">
            <v>Мед. рота</v>
          </cell>
        </row>
        <row r="790">
          <cell r="B790" t="str">
            <v>БРЕЗ</v>
          </cell>
          <cell r="M790" t="str">
            <v>молодший сержант</v>
          </cell>
          <cell r="U790" t="str">
            <v>Новоприбулий</v>
          </cell>
          <cell r="AE790" t="str">
            <v>ППД Слов'янка (13-й)</v>
          </cell>
        </row>
        <row r="791">
          <cell r="B791" t="str">
            <v>ПРИКОМАНДИРОВАНІ</v>
          </cell>
          <cell r="M791" t="str">
            <v>солдат</v>
          </cell>
          <cell r="U791" t="str">
            <v>Відком. за межі ПБ</v>
          </cell>
        </row>
        <row r="792">
          <cell r="B792" t="str">
            <v>БРЕЗ</v>
          </cell>
          <cell r="M792" t="str">
            <v>солдат</v>
          </cell>
          <cell r="U792" t="str">
            <v>Зниклі безвісти</v>
          </cell>
        </row>
        <row r="793">
          <cell r="B793" t="str">
            <v>БРЕЗ</v>
          </cell>
          <cell r="M793" t="str">
            <v>солдат</v>
          </cell>
          <cell r="U793" t="str">
            <v>Новоприбулий</v>
          </cell>
          <cell r="AE793" t="str">
            <v>ППД Вишневе</v>
          </cell>
        </row>
        <row r="794">
          <cell r="B794" t="str">
            <v>БРЕЗ</v>
          </cell>
          <cell r="M794" t="str">
            <v>солдат</v>
          </cell>
          <cell r="U794" t="str">
            <v>Лікування</v>
          </cell>
          <cell r="AE794" t="str">
            <v>Мед. рота</v>
          </cell>
        </row>
        <row r="795">
          <cell r="B795" t="str">
            <v>ПРИКОМАНДИРОВАНІ</v>
          </cell>
          <cell r="M795" t="str">
            <v>солдат</v>
          </cell>
          <cell r="U795" t="str">
            <v>Відком. за межі ПБ</v>
          </cell>
          <cell r="AE795" t="str">
            <v>Полігон "Б"</v>
          </cell>
        </row>
        <row r="796">
          <cell r="B796" t="str">
            <v>ПРИКОМАНДИРОВАНІ</v>
          </cell>
          <cell r="M796" t="str">
            <v>солдат</v>
          </cell>
          <cell r="U796" t="str">
            <v>Лікування</v>
          </cell>
          <cell r="AE796" t="str">
            <v>Відпустка лікув.</v>
          </cell>
        </row>
        <row r="797">
          <cell r="B797" t="str">
            <v>БРЕЗ</v>
          </cell>
          <cell r="M797" t="str">
            <v>солдат</v>
          </cell>
          <cell r="U797" t="str">
            <v>Новоприбулий</v>
          </cell>
          <cell r="AE797" t="str">
            <v>ППД Вишневе</v>
          </cell>
        </row>
        <row r="799">
          <cell r="B799" t="str">
            <v>БРЕЗ</v>
          </cell>
          <cell r="M799" t="str">
            <v>солдат</v>
          </cell>
          <cell r="U799" t="str">
            <v>Новоприбулий</v>
          </cell>
          <cell r="AE799" t="str">
            <v>ППД Вишневе</v>
          </cell>
        </row>
        <row r="800">
          <cell r="B800" t="str">
            <v>БРЕЗ</v>
          </cell>
          <cell r="M800" t="str">
            <v>солдат</v>
          </cell>
          <cell r="U800" t="str">
            <v>Лікування</v>
          </cell>
          <cell r="AE800" t="str">
            <v>Шпиталь</v>
          </cell>
        </row>
        <row r="801">
          <cell r="B801" t="str">
            <v>ПРИКОМАНДИРОВАНІ</v>
          </cell>
          <cell r="M801" t="str">
            <v>молодший лейтенант</v>
          </cell>
          <cell r="U801" t="str">
            <v>Новоприбулий</v>
          </cell>
          <cell r="AE801" t="str">
            <v>ППД Вишневе</v>
          </cell>
        </row>
        <row r="802">
          <cell r="B802" t="str">
            <v>БРЕЗ</v>
          </cell>
          <cell r="M802" t="str">
            <v>солдат</v>
          </cell>
          <cell r="U802" t="str">
            <v>Новоприбулий</v>
          </cell>
          <cell r="AE802" t="str">
            <v>ППД Вишневе</v>
          </cell>
        </row>
        <row r="803">
          <cell r="B803" t="str">
            <v>БРЕЗ</v>
          </cell>
          <cell r="M803" t="str">
            <v>солдат</v>
          </cell>
          <cell r="U803" t="str">
            <v>Новоприбулий</v>
          </cell>
          <cell r="AE803" t="str">
            <v>ППД Вишневе</v>
          </cell>
        </row>
        <row r="804">
          <cell r="B804" t="str">
            <v>БРЕЗ</v>
          </cell>
          <cell r="M804" t="str">
            <v>молодший сержант</v>
          </cell>
          <cell r="U804" t="str">
            <v>Новоприбулий</v>
          </cell>
          <cell r="AE804" t="str">
            <v>ППД Вишневе</v>
          </cell>
        </row>
        <row r="805">
          <cell r="B805" t="str">
            <v>БРЕЗ</v>
          </cell>
          <cell r="M805" t="str">
            <v>солдат</v>
          </cell>
          <cell r="U805" t="str">
            <v>Новоприбулий</v>
          </cell>
          <cell r="AE805" t="str">
            <v>ППД Вишневе</v>
          </cell>
        </row>
        <row r="806">
          <cell r="B806" t="str">
            <v>ПРИКОМАНДИРОВАНІ</v>
          </cell>
          <cell r="M806" t="str">
            <v>солдат</v>
          </cell>
          <cell r="U806" t="str">
            <v>Відком. за межі ПБ</v>
          </cell>
        </row>
        <row r="807">
          <cell r="B807" t="str">
            <v>БРЕЗ</v>
          </cell>
          <cell r="M807" t="str">
            <v>солдат</v>
          </cell>
          <cell r="U807" t="str">
            <v>Новоприбулий</v>
          </cell>
          <cell r="AE807" t="str">
            <v>ППД Вишневе</v>
          </cell>
        </row>
        <row r="808">
          <cell r="B808" t="str">
            <v>ПРИКОМАНДИРОВАНІ</v>
          </cell>
          <cell r="M808" t="str">
            <v>солдат</v>
          </cell>
          <cell r="U808" t="str">
            <v>В строю</v>
          </cell>
          <cell r="AE808" t="str">
            <v>ППД Вишневе</v>
          </cell>
        </row>
        <row r="809">
          <cell r="B809" t="str">
            <v>ПРИКОМАНДИРОВАНІ</v>
          </cell>
          <cell r="M809" t="str">
            <v>солдат</v>
          </cell>
          <cell r="U809" t="str">
            <v>Відком. за межі ПБ</v>
          </cell>
        </row>
        <row r="810">
          <cell r="B810" t="str">
            <v>БРЕЗ</v>
          </cell>
          <cell r="M810" t="str">
            <v>солдат</v>
          </cell>
          <cell r="U810" t="str">
            <v>Лікування</v>
          </cell>
          <cell r="AE810" t="str">
            <v>Мед. рота</v>
          </cell>
        </row>
        <row r="811">
          <cell r="B811" t="str">
            <v>ПРИКОМАНДИРОВАНІ</v>
          </cell>
          <cell r="M811" t="str">
            <v>солдат</v>
          </cell>
          <cell r="U811" t="str">
            <v>Відком. за межі ПБ</v>
          </cell>
        </row>
        <row r="812">
          <cell r="B812" t="str">
            <v>ПРИКОМАНДИРОВАНІ</v>
          </cell>
          <cell r="M812" t="str">
            <v>солдат</v>
          </cell>
          <cell r="U812" t="str">
            <v>Лікування</v>
          </cell>
          <cell r="AE812" t="str">
            <v>Шпиталь</v>
          </cell>
        </row>
        <row r="813">
          <cell r="B813" t="str">
            <v>ПРИКОМАНДИРОВАНІ</v>
          </cell>
          <cell r="M813" t="str">
            <v>солдат</v>
          </cell>
          <cell r="U813" t="str">
            <v>Лікування</v>
          </cell>
          <cell r="AE813" t="str">
            <v>Мед. рота</v>
          </cell>
        </row>
        <row r="814">
          <cell r="B814" t="str">
            <v>ПРИКОМАНДИРОВАНІ</v>
          </cell>
          <cell r="M814" t="str">
            <v>солдат</v>
          </cell>
          <cell r="U814" t="str">
            <v>Новоприбулий</v>
          </cell>
          <cell r="AE814" t="str">
            <v>ППД Вишневе</v>
          </cell>
        </row>
        <row r="815">
          <cell r="B815" t="str">
            <v>ПРИКОМАНДИРОВАНІ</v>
          </cell>
          <cell r="M815" t="str">
            <v>солдат</v>
          </cell>
          <cell r="U815" t="str">
            <v>Лікування</v>
          </cell>
          <cell r="AE815" t="str">
            <v>Мед. рота</v>
          </cell>
        </row>
        <row r="816">
          <cell r="B816" t="str">
            <v>БРЕЗ</v>
          </cell>
          <cell r="M816" t="str">
            <v>солдат</v>
          </cell>
          <cell r="U816" t="str">
            <v>Новоприбулий</v>
          </cell>
          <cell r="AE816" t="str">
            <v>ППД Вишневе</v>
          </cell>
        </row>
        <row r="817">
          <cell r="B817" t="str">
            <v>ПРИКОМАНДИРОВАНІ</v>
          </cell>
          <cell r="M817" t="str">
            <v>солдат</v>
          </cell>
          <cell r="U817" t="str">
            <v>Новоприбулий</v>
          </cell>
          <cell r="AE817" t="str">
            <v>ППД Вишневе</v>
          </cell>
        </row>
        <row r="818">
          <cell r="B818" t="str">
            <v>ПРИКОМАНДИРОВАНІ</v>
          </cell>
          <cell r="M818" t="str">
            <v>солдат</v>
          </cell>
          <cell r="U818" t="str">
            <v>Лікування</v>
          </cell>
          <cell r="AE818" t="str">
            <v>Мед. рота</v>
          </cell>
        </row>
        <row r="819">
          <cell r="B819" t="str">
            <v>БРЕЗ</v>
          </cell>
          <cell r="M819" t="str">
            <v>солдат</v>
          </cell>
          <cell r="U819" t="str">
            <v>Зниклі безвісти</v>
          </cell>
        </row>
        <row r="820">
          <cell r="B820" t="str">
            <v>ПРИКОМАНДИРОВАНІ</v>
          </cell>
          <cell r="M820" t="str">
            <v>солдат</v>
          </cell>
          <cell r="U820" t="str">
            <v>Лікування</v>
          </cell>
          <cell r="AE820" t="str">
            <v>Мед. рота</v>
          </cell>
        </row>
        <row r="821">
          <cell r="B821" t="str">
            <v>ПРИКОМАНДИРОВАНІ</v>
          </cell>
          <cell r="M821" t="str">
            <v>солдат</v>
          </cell>
          <cell r="U821" t="str">
            <v>Лікування</v>
          </cell>
          <cell r="AE821" t="str">
            <v>Мед. рота</v>
          </cell>
        </row>
        <row r="823">
          <cell r="B823" t="str">
            <v>ПРИКОМАНДИРОВАНІ</v>
          </cell>
          <cell r="M823" t="str">
            <v>солдат</v>
          </cell>
          <cell r="U823" t="str">
            <v>Відком. за межі ПБ</v>
          </cell>
        </row>
        <row r="824">
          <cell r="B824" t="str">
            <v>БРЕЗ</v>
          </cell>
          <cell r="M824" t="str">
            <v>солдат</v>
          </cell>
          <cell r="U824" t="str">
            <v>Новоприбулий</v>
          </cell>
          <cell r="AE824" t="str">
            <v>ППД Вишневе</v>
          </cell>
        </row>
        <row r="825">
          <cell r="B825" t="str">
            <v>БРЕЗ</v>
          </cell>
          <cell r="M825" t="str">
            <v>солдат</v>
          </cell>
          <cell r="U825" t="str">
            <v>Новоприбулий</v>
          </cell>
          <cell r="AE825" t="str">
            <v>КСП Павлоград</v>
          </cell>
        </row>
        <row r="826">
          <cell r="B826" t="str">
            <v>БРЕЗ</v>
          </cell>
          <cell r="M826" t="str">
            <v>солдат</v>
          </cell>
          <cell r="U826" t="str">
            <v>Новоприбулий</v>
          </cell>
          <cell r="AE826" t="str">
            <v>ППД Вишневе</v>
          </cell>
        </row>
        <row r="828">
          <cell r="B828" t="str">
            <v>ПРИКОМАНДИРОВАНІ</v>
          </cell>
          <cell r="M828" t="str">
            <v>сержант</v>
          </cell>
          <cell r="U828" t="str">
            <v>Відком. за межі ПБ</v>
          </cell>
        </row>
        <row r="829">
          <cell r="B829" t="str">
            <v>БРЕЗ</v>
          </cell>
          <cell r="M829" t="str">
            <v>солдат</v>
          </cell>
          <cell r="U829" t="str">
            <v>Новоприбулий</v>
          </cell>
          <cell r="AE829" t="str">
            <v>ППД Вишневе</v>
          </cell>
        </row>
        <row r="830">
          <cell r="B830" t="str">
            <v>ПРИКОМАНДИРОВАНІ</v>
          </cell>
          <cell r="M830" t="str">
            <v>солдат</v>
          </cell>
          <cell r="U830" t="str">
            <v>Відком. за межі ПБ</v>
          </cell>
        </row>
        <row r="831">
          <cell r="B831" t="str">
            <v>БРЕЗ</v>
          </cell>
          <cell r="M831" t="str">
            <v>солдат</v>
          </cell>
          <cell r="U831" t="str">
            <v>Лікування</v>
          </cell>
          <cell r="AE831" t="str">
            <v>Мед. рота</v>
          </cell>
        </row>
        <row r="832">
          <cell r="B832" t="str">
            <v>ПРИКОМАНДИРОВАНІ</v>
          </cell>
          <cell r="M832" t="str">
            <v>солдат</v>
          </cell>
          <cell r="U832" t="str">
            <v>Лікування</v>
          </cell>
          <cell r="AE832" t="str">
            <v>Шпиталь</v>
          </cell>
        </row>
        <row r="833">
          <cell r="B833" t="str">
            <v>БРЕЗ</v>
          </cell>
          <cell r="M833" t="str">
            <v>солдат</v>
          </cell>
          <cell r="U833" t="str">
            <v>Новоприбулий</v>
          </cell>
          <cell r="AE833" t="str">
            <v>ППД Вишневе</v>
          </cell>
        </row>
        <row r="834">
          <cell r="B834" t="str">
            <v>БРЕЗ</v>
          </cell>
          <cell r="M834" t="str">
            <v>солдат</v>
          </cell>
          <cell r="U834" t="str">
            <v>Зниклі безвісти</v>
          </cell>
        </row>
        <row r="835">
          <cell r="B835" t="str">
            <v>БРЕЗ</v>
          </cell>
          <cell r="M835" t="str">
            <v>солдат</v>
          </cell>
          <cell r="U835" t="str">
            <v>Новоприбулий</v>
          </cell>
          <cell r="AE835" t="str">
            <v>ППД Вишневе</v>
          </cell>
        </row>
        <row r="837">
          <cell r="B837" t="str">
            <v>ПРИКОМАНДИРОВАНІ</v>
          </cell>
          <cell r="M837" t="str">
            <v>молодший лейтенант</v>
          </cell>
          <cell r="U837" t="str">
            <v>В строю</v>
          </cell>
          <cell r="AE837" t="str">
            <v>КСП Павлоград</v>
          </cell>
        </row>
        <row r="838">
          <cell r="B838" t="str">
            <v>ПРИКОМАНДИРОВАНІ</v>
          </cell>
          <cell r="M838" t="str">
            <v>солдат</v>
          </cell>
          <cell r="U838" t="str">
            <v>В строю</v>
          </cell>
          <cell r="AE838" t="str">
            <v>ППД Слов'янка (13-й)</v>
          </cell>
        </row>
        <row r="840">
          <cell r="B840" t="str">
            <v>БРЕЗ</v>
          </cell>
          <cell r="M840" t="str">
            <v>солдат</v>
          </cell>
          <cell r="U840" t="str">
            <v>Відком. за межі ПБ</v>
          </cell>
        </row>
        <row r="841">
          <cell r="B841" t="str">
            <v>ПРИКОМАНДИРОВАНІ</v>
          </cell>
          <cell r="M841" t="str">
            <v>сержант</v>
          </cell>
          <cell r="U841" t="str">
            <v>Відком. за межі ПБ</v>
          </cell>
        </row>
        <row r="842">
          <cell r="B842" t="str">
            <v>ПРИКОМАНДИРОВАНІ</v>
          </cell>
          <cell r="M842" t="str">
            <v>солдат</v>
          </cell>
          <cell r="U842" t="str">
            <v>Відком. за межі ПБ</v>
          </cell>
        </row>
        <row r="843">
          <cell r="B843" t="str">
            <v>ПРИКОМАНДИРОВАНІ</v>
          </cell>
          <cell r="M843" t="str">
            <v>солдат</v>
          </cell>
          <cell r="U843" t="str">
            <v>Відком. за межі ПБ</v>
          </cell>
        </row>
        <row r="844">
          <cell r="B844" t="str">
            <v>ПРИКОМАНДИРОВАНІ</v>
          </cell>
          <cell r="M844" t="str">
            <v>солдат</v>
          </cell>
          <cell r="U844" t="str">
            <v>Відком. за межі ПБ</v>
          </cell>
        </row>
        <row r="845">
          <cell r="B845" t="str">
            <v>ПРИКОМАНДИРОВАНІ</v>
          </cell>
          <cell r="M845" t="str">
            <v>солдат</v>
          </cell>
          <cell r="U845" t="str">
            <v>Відком. за межі ПБ</v>
          </cell>
        </row>
        <row r="846">
          <cell r="B846" t="str">
            <v>ПРИКОМАНДИРОВАНІ</v>
          </cell>
          <cell r="M846" t="str">
            <v>солдат</v>
          </cell>
          <cell r="U846" t="str">
            <v>Відком. за межі ПБ</v>
          </cell>
        </row>
        <row r="847">
          <cell r="B847" t="str">
            <v>ПРИКОМАНДИРОВАНІ</v>
          </cell>
          <cell r="M847" t="str">
            <v>солдат</v>
          </cell>
          <cell r="U847" t="str">
            <v>Відком. за межі ПБ</v>
          </cell>
        </row>
        <row r="848">
          <cell r="B848" t="str">
            <v>ПРИКОМАНДИРОВАНІ</v>
          </cell>
          <cell r="M848" t="str">
            <v>солдат</v>
          </cell>
          <cell r="U848" t="str">
            <v>Відком. за межі ПБ</v>
          </cell>
        </row>
        <row r="849">
          <cell r="B849" t="str">
            <v>ПРИКОМАНДИРОВАНІ</v>
          </cell>
          <cell r="M849" t="str">
            <v>солдат</v>
          </cell>
          <cell r="U849" t="str">
            <v>Відком. за межі ПБ</v>
          </cell>
        </row>
        <row r="850">
          <cell r="B850" t="str">
            <v>ПРИКОМАНДИРОВАНІ</v>
          </cell>
          <cell r="M850" t="str">
            <v>солдат</v>
          </cell>
          <cell r="U850" t="str">
            <v>Відком. за межі ПБ</v>
          </cell>
        </row>
        <row r="851">
          <cell r="B851" t="str">
            <v>ПРИКОМАНДИРОВАНІ</v>
          </cell>
          <cell r="M851" t="str">
            <v>солдат</v>
          </cell>
          <cell r="U851" t="str">
            <v>Відком. за межі ПБ</v>
          </cell>
        </row>
        <row r="852">
          <cell r="B852" t="str">
            <v>ПРИКОМАНДИРОВАНІ</v>
          </cell>
          <cell r="M852" t="str">
            <v>старший солдат</v>
          </cell>
          <cell r="U852" t="str">
            <v>Відком. за межі ПБ</v>
          </cell>
        </row>
        <row r="853">
          <cell r="B853" t="str">
            <v>ПРИКОМАНДИРОВАНІ</v>
          </cell>
          <cell r="M853" t="str">
            <v>солдат</v>
          </cell>
          <cell r="U853" t="str">
            <v>Відком. за межі ПБ</v>
          </cell>
        </row>
        <row r="854">
          <cell r="B854" t="str">
            <v>ПРИКОМАНДИРОВАНІ</v>
          </cell>
          <cell r="M854" t="str">
            <v>солдат</v>
          </cell>
          <cell r="U854" t="str">
            <v>Відком. за межі ПБ</v>
          </cell>
        </row>
        <row r="855">
          <cell r="B855" t="str">
            <v>ПРИКОМАНДИРОВАНІ</v>
          </cell>
          <cell r="M855" t="str">
            <v>солдат</v>
          </cell>
          <cell r="U855" t="str">
            <v>Відком. за межі ПБ</v>
          </cell>
        </row>
        <row r="856">
          <cell r="B856" t="str">
            <v>ПРИКОМАНДИРОВАНІ</v>
          </cell>
          <cell r="M856" t="str">
            <v>солдат</v>
          </cell>
          <cell r="U856" t="str">
            <v>Відком. за межі ПБ</v>
          </cell>
        </row>
        <row r="857">
          <cell r="B857" t="str">
            <v>ПРИКОМАНДИРОВАНІ</v>
          </cell>
          <cell r="M857" t="str">
            <v>солдат</v>
          </cell>
          <cell r="U857" t="str">
            <v>Відком. за межі ПБ</v>
          </cell>
        </row>
        <row r="858">
          <cell r="B858" t="str">
            <v>ПРИКОМАНДИРОВАНІ</v>
          </cell>
          <cell r="M858" t="str">
            <v>солдат</v>
          </cell>
          <cell r="U858" t="str">
            <v>Відком. за межі ПБ</v>
          </cell>
        </row>
        <row r="859">
          <cell r="B859" t="str">
            <v>ПРИКОМАНДИРОВАНІ</v>
          </cell>
          <cell r="M859" t="str">
            <v>солдат</v>
          </cell>
          <cell r="U859" t="str">
            <v>Відком. за межі ПБ</v>
          </cell>
        </row>
        <row r="860">
          <cell r="B860" t="str">
            <v>ПРИКОМАНДИРОВАНІ</v>
          </cell>
          <cell r="M860" t="str">
            <v>солдат</v>
          </cell>
          <cell r="U860" t="str">
            <v>Відком. за межі ПБ</v>
          </cell>
        </row>
        <row r="861">
          <cell r="B861" t="str">
            <v>ПРИКОМАНДИРОВАНІ</v>
          </cell>
          <cell r="M861" t="str">
            <v>матрос</v>
          </cell>
          <cell r="U861" t="str">
            <v>Відком. за межі ПБ</v>
          </cell>
        </row>
        <row r="862">
          <cell r="B862" t="str">
            <v>ПРИКОМАНДИРОВАНІ</v>
          </cell>
          <cell r="M862" t="str">
            <v>солдат</v>
          </cell>
          <cell r="U862" t="str">
            <v>Відком. за межі ПБ</v>
          </cell>
        </row>
        <row r="863">
          <cell r="B863" t="str">
            <v>ПРИКОМАНДИРОВАНІ</v>
          </cell>
          <cell r="M863" t="str">
            <v>солдат</v>
          </cell>
          <cell r="U863" t="str">
            <v>Відком. за межі ПБ</v>
          </cell>
        </row>
        <row r="864">
          <cell r="B864" t="str">
            <v>ПРИКОМАНДИРОВАНІ</v>
          </cell>
          <cell r="M864" t="str">
            <v>солдат</v>
          </cell>
          <cell r="U864" t="str">
            <v>Відком. за межі ПБ</v>
          </cell>
        </row>
        <row r="865">
          <cell r="B865" t="str">
            <v>ПРИКОМАНДИРОВАНІ</v>
          </cell>
          <cell r="M865" t="str">
            <v>солдат</v>
          </cell>
          <cell r="U865" t="str">
            <v>Відком. за межі ПБ</v>
          </cell>
        </row>
        <row r="866">
          <cell r="B866" t="str">
            <v>ПРИКОМАНДИРОВАНІ</v>
          </cell>
          <cell r="M866" t="str">
            <v>солдат</v>
          </cell>
          <cell r="U866" t="str">
            <v>Відком. за межі ПБ</v>
          </cell>
        </row>
        <row r="867">
          <cell r="B867" t="str">
            <v>ПРИКОМАНДИРОВАНІ</v>
          </cell>
          <cell r="M867" t="str">
            <v>солдат</v>
          </cell>
          <cell r="U867" t="str">
            <v>Відком. за межі ПБ</v>
          </cell>
        </row>
        <row r="868">
          <cell r="B868" t="str">
            <v>БРЕЗ</v>
          </cell>
          <cell r="M868" t="str">
            <v>солдат</v>
          </cell>
          <cell r="U868" t="str">
            <v>Відком. за межі ПБ</v>
          </cell>
        </row>
        <row r="869">
          <cell r="B869" t="str">
            <v>ПРИКОМАНДИРОВАНІ</v>
          </cell>
          <cell r="M869" t="str">
            <v>солдат</v>
          </cell>
          <cell r="U869" t="str">
            <v>Відком. за межі ПБ</v>
          </cell>
        </row>
        <row r="870">
          <cell r="B870" t="str">
            <v>ПРИКОМАНДИРОВАНІ</v>
          </cell>
          <cell r="M870" t="str">
            <v>старший солдат</v>
          </cell>
          <cell r="U870" t="str">
            <v>Відком. за межі ПБ</v>
          </cell>
        </row>
        <row r="871">
          <cell r="B871" t="str">
            <v>ПРИКОМАНДИРОВАНІ</v>
          </cell>
          <cell r="M871" t="str">
            <v>солдат</v>
          </cell>
          <cell r="U871" t="str">
            <v>Відком. за межі ПБ</v>
          </cell>
        </row>
        <row r="873">
          <cell r="B873" t="str">
            <v>ПРИКОМАНДИРОВАНІ</v>
          </cell>
          <cell r="M873" t="str">
            <v>молодший сержант</v>
          </cell>
          <cell r="U873" t="str">
            <v>Відком. за межі ПБ</v>
          </cell>
        </row>
        <row r="874">
          <cell r="B874" t="str">
            <v>ПРИКОМАНДИРОВАНІ</v>
          </cell>
          <cell r="M874" t="str">
            <v>молодший сержант</v>
          </cell>
          <cell r="U874" t="str">
            <v>Відком. за межі ПБ</v>
          </cell>
        </row>
        <row r="875">
          <cell r="B875" t="str">
            <v>ПРИКОМАНДИРОВАНІ</v>
          </cell>
          <cell r="M875" t="str">
            <v>молодший сержант</v>
          </cell>
          <cell r="U875" t="str">
            <v>Відком. за межі ПБ</v>
          </cell>
        </row>
        <row r="876">
          <cell r="B876" t="str">
            <v>ПРИКОМАНДИРОВАНІ</v>
          </cell>
          <cell r="M876" t="str">
            <v>молодший сержант</v>
          </cell>
          <cell r="U876" t="str">
            <v>Відком. за межі ПБ</v>
          </cell>
        </row>
        <row r="877">
          <cell r="B877" t="str">
            <v>ПРИКОМАНДИРОВАНІ</v>
          </cell>
          <cell r="M877" t="str">
            <v>молодший сержант</v>
          </cell>
          <cell r="U877" t="str">
            <v>Відком. за межі ПБ</v>
          </cell>
        </row>
      </sheetData>
    </sheetDataSet>
  </externalBook>
</externalLink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A5CE-BA27-4E08-A50E-FCF769841609}">
  <dimension ref="A1:AC261"/>
  <sheetViews>
    <sheetView tabSelected="1" zoomScale="70" zoomScaleNormal="70" zoomScalePageLayoutView="70" workbookViewId="0">
      <selection activeCell="M89" sqref="M89"/>
    </sheetView>
  </sheetViews>
  <sheetFormatPr defaultColWidth="8.85546875" defaultRowHeight="15.75" x14ac:dyDescent="0.25"/>
  <cols>
    <col min="1" max="1" width="15.7109375" style="13" customWidth="1"/>
    <col min="2" max="2" width="29.5703125" style="13" customWidth="1"/>
    <col min="3" max="6" width="7.28515625" style="13" customWidth="1"/>
    <col min="7" max="9" width="7.85546875" style="13" customWidth="1"/>
    <col min="10" max="10" width="8.28515625" style="13" customWidth="1"/>
    <col min="11" max="14" width="5.7109375" style="13" customWidth="1"/>
    <col min="15" max="16384" width="8.85546875" style="13"/>
  </cols>
  <sheetData>
    <row r="1" spans="1:14" ht="17.25" thickTop="1" thickBot="1" x14ac:dyDescent="0.3">
      <c r="A1" s="135" t="s">
        <v>0</v>
      </c>
      <c r="B1" s="135" t="s">
        <v>1</v>
      </c>
      <c r="C1" s="137" t="s">
        <v>2</v>
      </c>
      <c r="D1" s="137" t="s">
        <v>3</v>
      </c>
      <c r="E1" s="133" t="s">
        <v>122</v>
      </c>
      <c r="F1" s="138" t="s">
        <v>4</v>
      </c>
      <c r="G1" s="127" t="s">
        <v>5</v>
      </c>
      <c r="H1" s="128"/>
      <c r="I1" s="129"/>
      <c r="J1" s="133" t="s">
        <v>64</v>
      </c>
      <c r="K1" s="126" t="s">
        <v>6</v>
      </c>
      <c r="L1" s="126"/>
      <c r="M1" s="126"/>
      <c r="N1" s="126"/>
    </row>
    <row r="2" spans="1:14" ht="17.25" thickTop="1" thickBot="1" x14ac:dyDescent="0.3">
      <c r="A2" s="135"/>
      <c r="B2" s="135"/>
      <c r="C2" s="137"/>
      <c r="D2" s="137"/>
      <c r="E2" s="139"/>
      <c r="F2" s="137"/>
      <c r="G2" s="130"/>
      <c r="H2" s="131"/>
      <c r="I2" s="132"/>
      <c r="J2" s="134"/>
      <c r="K2" s="126"/>
      <c r="L2" s="126"/>
      <c r="M2" s="126"/>
      <c r="N2" s="126"/>
    </row>
    <row r="3" spans="1:14" ht="117" thickTop="1" thickBot="1" x14ac:dyDescent="0.3">
      <c r="A3" s="136"/>
      <c r="B3" s="136"/>
      <c r="C3" s="133"/>
      <c r="D3" s="133"/>
      <c r="E3" s="140"/>
      <c r="F3" s="133"/>
      <c r="G3" s="122" t="s">
        <v>7</v>
      </c>
      <c r="H3" s="122" t="s">
        <v>8</v>
      </c>
      <c r="I3" s="122" t="s">
        <v>63</v>
      </c>
      <c r="J3" s="134"/>
      <c r="K3" s="123" t="s">
        <v>9</v>
      </c>
      <c r="L3" s="123" t="s">
        <v>10</v>
      </c>
      <c r="M3" s="123" t="s">
        <v>11</v>
      </c>
      <c r="N3" s="123" t="s">
        <v>12</v>
      </c>
    </row>
    <row r="4" spans="1:14" ht="16.5" hidden="1" thickTop="1" x14ac:dyDescent="0.25">
      <c r="A4" s="19" t="s">
        <v>13</v>
      </c>
      <c r="B4" s="6" t="s">
        <v>14</v>
      </c>
      <c r="C4" s="116">
        <v>8</v>
      </c>
      <c r="D4" s="116">
        <v>7</v>
      </c>
      <c r="E4" s="116"/>
      <c r="F4" s="117">
        <f>D4/C4</f>
        <v>0.875</v>
      </c>
      <c r="G4" s="70">
        <v>0</v>
      </c>
      <c r="H4" s="70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1">
        <v>0</v>
      </c>
    </row>
    <row r="5" spans="1:14" hidden="1" x14ac:dyDescent="0.25">
      <c r="A5" s="20"/>
      <c r="B5" s="1" t="s">
        <v>15</v>
      </c>
      <c r="C5" s="52">
        <v>20</v>
      </c>
      <c r="D5" s="52">
        <v>14</v>
      </c>
      <c r="E5" s="52"/>
      <c r="F5" s="2">
        <f>D5/C5</f>
        <v>0.7</v>
      </c>
      <c r="G5" s="93">
        <v>0</v>
      </c>
      <c r="H5" s="93">
        <v>0</v>
      </c>
      <c r="I5" s="93">
        <v>0</v>
      </c>
      <c r="J5" s="93">
        <v>0</v>
      </c>
      <c r="K5" s="93">
        <v>0</v>
      </c>
      <c r="L5" s="93">
        <v>0</v>
      </c>
      <c r="M5" s="93">
        <v>0</v>
      </c>
      <c r="N5" s="94">
        <v>0</v>
      </c>
    </row>
    <row r="6" spans="1:14" hidden="1" x14ac:dyDescent="0.25">
      <c r="A6" s="21"/>
      <c r="B6" s="4" t="s">
        <v>16</v>
      </c>
      <c r="C6" s="47">
        <v>166</v>
      </c>
      <c r="D6" s="47">
        <v>159</v>
      </c>
      <c r="E6" s="52"/>
      <c r="F6" s="2">
        <f t="shared" ref="F6:F22" si="0">D6/C6</f>
        <v>0.95783132530120485</v>
      </c>
      <c r="G6" s="47">
        <v>12</v>
      </c>
      <c r="H6" s="93">
        <v>0</v>
      </c>
      <c r="I6" s="93">
        <v>0</v>
      </c>
      <c r="J6" s="93">
        <v>0</v>
      </c>
      <c r="K6" s="93">
        <v>0</v>
      </c>
      <c r="L6" s="93">
        <v>0</v>
      </c>
      <c r="M6" s="47">
        <v>1</v>
      </c>
      <c r="N6" s="94">
        <v>0</v>
      </c>
    </row>
    <row r="7" spans="1:14" hidden="1" x14ac:dyDescent="0.25">
      <c r="A7" s="21"/>
      <c r="B7" s="4" t="s">
        <v>17</v>
      </c>
      <c r="C7" s="47">
        <v>166</v>
      </c>
      <c r="D7" s="47">
        <v>160</v>
      </c>
      <c r="E7" s="52"/>
      <c r="F7" s="2">
        <f t="shared" si="0"/>
        <v>0.96385542168674698</v>
      </c>
      <c r="G7" s="47">
        <v>11</v>
      </c>
      <c r="H7" s="93">
        <v>0</v>
      </c>
      <c r="I7" s="93">
        <v>0</v>
      </c>
      <c r="J7" s="93">
        <v>0</v>
      </c>
      <c r="K7" s="93">
        <v>0</v>
      </c>
      <c r="L7" s="93">
        <v>0</v>
      </c>
      <c r="M7" s="47">
        <v>12</v>
      </c>
      <c r="N7" s="94">
        <v>0</v>
      </c>
    </row>
    <row r="8" spans="1:14" hidden="1" x14ac:dyDescent="0.25">
      <c r="A8" s="21"/>
      <c r="B8" s="4" t="s">
        <v>18</v>
      </c>
      <c r="C8" s="47">
        <v>157</v>
      </c>
      <c r="D8" s="47">
        <v>154</v>
      </c>
      <c r="E8" s="52"/>
      <c r="F8" s="2">
        <f t="shared" si="0"/>
        <v>0.98089171974522293</v>
      </c>
      <c r="G8" s="47">
        <v>10</v>
      </c>
      <c r="H8" s="93">
        <v>0</v>
      </c>
      <c r="I8" s="93">
        <v>0</v>
      </c>
      <c r="J8" s="93">
        <v>0</v>
      </c>
      <c r="K8" s="93">
        <v>0</v>
      </c>
      <c r="L8" s="93">
        <v>0</v>
      </c>
      <c r="M8" s="47">
        <v>10</v>
      </c>
      <c r="N8" s="94">
        <v>0</v>
      </c>
    </row>
    <row r="9" spans="1:14" hidden="1" x14ac:dyDescent="0.25">
      <c r="A9" s="21"/>
      <c r="B9" s="4" t="s">
        <v>19</v>
      </c>
      <c r="C9" s="47">
        <v>20</v>
      </c>
      <c r="D9" s="47">
        <v>19</v>
      </c>
      <c r="E9" s="52"/>
      <c r="F9" s="2">
        <f t="shared" si="0"/>
        <v>0.95</v>
      </c>
      <c r="G9" s="47">
        <v>3</v>
      </c>
      <c r="H9" s="93">
        <v>0</v>
      </c>
      <c r="I9" s="93">
        <v>0</v>
      </c>
      <c r="J9" s="93">
        <v>0</v>
      </c>
      <c r="K9" s="93">
        <v>0</v>
      </c>
      <c r="L9" s="93">
        <v>0</v>
      </c>
      <c r="M9" s="93">
        <v>0</v>
      </c>
      <c r="N9" s="94">
        <v>0</v>
      </c>
    </row>
    <row r="10" spans="1:14" hidden="1" x14ac:dyDescent="0.25">
      <c r="A10" s="21"/>
      <c r="B10" s="4" t="s">
        <v>20</v>
      </c>
      <c r="C10" s="47">
        <v>21</v>
      </c>
      <c r="D10" s="47">
        <v>21</v>
      </c>
      <c r="E10" s="52"/>
      <c r="F10" s="2">
        <f t="shared" si="0"/>
        <v>1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4">
        <v>0</v>
      </c>
    </row>
    <row r="11" spans="1:14" ht="31.5" hidden="1" x14ac:dyDescent="0.25">
      <c r="A11" s="21"/>
      <c r="B11" s="4" t="s">
        <v>21</v>
      </c>
      <c r="C11" s="47">
        <v>24</v>
      </c>
      <c r="D11" s="47">
        <v>23</v>
      </c>
      <c r="E11" s="52"/>
      <c r="F11" s="2">
        <f t="shared" si="0"/>
        <v>0.95833333333333337</v>
      </c>
      <c r="G11" s="93">
        <v>0</v>
      </c>
      <c r="H11" s="93">
        <v>0</v>
      </c>
      <c r="I11" s="93">
        <v>0</v>
      </c>
      <c r="J11" s="93">
        <v>0</v>
      </c>
      <c r="K11" s="93">
        <v>0</v>
      </c>
      <c r="L11" s="93">
        <v>0</v>
      </c>
      <c r="M11" s="93">
        <v>0</v>
      </c>
      <c r="N11" s="94">
        <v>0</v>
      </c>
    </row>
    <row r="12" spans="1:14" hidden="1" x14ac:dyDescent="0.25">
      <c r="A12" s="21"/>
      <c r="B12" s="4" t="s">
        <v>22</v>
      </c>
      <c r="C12" s="47">
        <v>17</v>
      </c>
      <c r="D12" s="47">
        <v>17</v>
      </c>
      <c r="E12" s="52"/>
      <c r="F12" s="2">
        <f t="shared" si="0"/>
        <v>1</v>
      </c>
      <c r="G12" s="93">
        <v>0</v>
      </c>
      <c r="H12" s="93">
        <v>0</v>
      </c>
      <c r="I12" s="93">
        <v>0</v>
      </c>
      <c r="J12" s="93">
        <v>0</v>
      </c>
      <c r="K12" s="93">
        <v>0</v>
      </c>
      <c r="L12" s="93">
        <v>0</v>
      </c>
      <c r="M12" s="93">
        <v>0</v>
      </c>
      <c r="N12" s="94">
        <v>0</v>
      </c>
    </row>
    <row r="13" spans="1:14" hidden="1" x14ac:dyDescent="0.25">
      <c r="A13" s="21"/>
      <c r="B13" s="4" t="s">
        <v>23</v>
      </c>
      <c r="C13" s="47">
        <v>12</v>
      </c>
      <c r="D13" s="47">
        <v>12</v>
      </c>
      <c r="E13" s="52"/>
      <c r="F13" s="2">
        <f t="shared" si="0"/>
        <v>1</v>
      </c>
      <c r="G13" s="93">
        <v>0</v>
      </c>
      <c r="H13" s="93">
        <v>0</v>
      </c>
      <c r="I13" s="93">
        <v>0</v>
      </c>
      <c r="J13" s="93">
        <v>0</v>
      </c>
      <c r="K13" s="93">
        <v>0</v>
      </c>
      <c r="L13" s="93">
        <v>0</v>
      </c>
      <c r="M13" s="93">
        <v>0</v>
      </c>
      <c r="N13" s="94">
        <v>0</v>
      </c>
    </row>
    <row r="14" spans="1:14" hidden="1" x14ac:dyDescent="0.25">
      <c r="A14" s="21"/>
      <c r="B14" s="4" t="s">
        <v>24</v>
      </c>
      <c r="C14" s="47">
        <v>5</v>
      </c>
      <c r="D14" s="47">
        <v>4</v>
      </c>
      <c r="E14" s="52"/>
      <c r="F14" s="2">
        <f t="shared" si="0"/>
        <v>0.8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4">
        <v>0</v>
      </c>
    </row>
    <row r="15" spans="1:14" hidden="1" x14ac:dyDescent="0.25">
      <c r="A15" s="21"/>
      <c r="B15" s="4" t="s">
        <v>25</v>
      </c>
      <c r="C15" s="47">
        <v>2</v>
      </c>
      <c r="D15" s="47">
        <v>1</v>
      </c>
      <c r="E15" s="52"/>
      <c r="F15" s="2">
        <f t="shared" si="0"/>
        <v>0.5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4">
        <v>0</v>
      </c>
    </row>
    <row r="16" spans="1:14" hidden="1" x14ac:dyDescent="0.25">
      <c r="A16" s="21"/>
      <c r="B16" s="4" t="s">
        <v>26</v>
      </c>
      <c r="C16" s="93">
        <v>0</v>
      </c>
      <c r="D16" s="93">
        <v>0</v>
      </c>
      <c r="E16" s="93"/>
      <c r="F16" s="93">
        <v>0</v>
      </c>
      <c r="G16" s="93">
        <v>0</v>
      </c>
      <c r="H16" s="93">
        <v>0</v>
      </c>
      <c r="I16" s="93">
        <v>0</v>
      </c>
      <c r="J16" s="93">
        <v>0</v>
      </c>
      <c r="K16" s="93">
        <v>0</v>
      </c>
      <c r="L16" s="93">
        <v>0</v>
      </c>
      <c r="M16" s="93">
        <v>0</v>
      </c>
      <c r="N16" s="94">
        <v>0</v>
      </c>
    </row>
    <row r="17" spans="1:14" hidden="1" x14ac:dyDescent="0.25">
      <c r="A17" s="21"/>
      <c r="B17" s="4" t="s">
        <v>27</v>
      </c>
      <c r="C17" s="47">
        <v>26</v>
      </c>
      <c r="D17" s="47">
        <v>25</v>
      </c>
      <c r="E17" s="52"/>
      <c r="F17" s="2">
        <f t="shared" si="0"/>
        <v>0.96153846153846156</v>
      </c>
      <c r="G17" s="93">
        <v>0</v>
      </c>
      <c r="H17" s="93">
        <v>0</v>
      </c>
      <c r="I17" s="93">
        <v>0</v>
      </c>
      <c r="J17" s="93">
        <v>0</v>
      </c>
      <c r="K17" s="93">
        <v>0</v>
      </c>
      <c r="L17" s="93">
        <v>0</v>
      </c>
      <c r="M17" s="93">
        <v>0</v>
      </c>
      <c r="N17" s="94">
        <v>0</v>
      </c>
    </row>
    <row r="18" spans="1:14" hidden="1" x14ac:dyDescent="0.25">
      <c r="A18" s="21"/>
      <c r="B18" s="4" t="s">
        <v>28</v>
      </c>
      <c r="C18" s="47">
        <v>83</v>
      </c>
      <c r="D18" s="47">
        <v>80</v>
      </c>
      <c r="E18" s="52"/>
      <c r="F18" s="2">
        <f t="shared" si="0"/>
        <v>0.96385542168674698</v>
      </c>
      <c r="G18" s="93">
        <v>0</v>
      </c>
      <c r="H18" s="93">
        <v>0</v>
      </c>
      <c r="I18" s="93">
        <v>0</v>
      </c>
      <c r="J18" s="93">
        <v>0</v>
      </c>
      <c r="K18" s="93">
        <v>0</v>
      </c>
      <c r="L18" s="93">
        <v>0</v>
      </c>
      <c r="M18" s="93">
        <v>0</v>
      </c>
      <c r="N18" s="94">
        <v>0</v>
      </c>
    </row>
    <row r="19" spans="1:14" hidden="1" x14ac:dyDescent="0.25">
      <c r="A19" s="21"/>
      <c r="B19" s="4" t="s">
        <v>29</v>
      </c>
      <c r="C19" s="47">
        <v>32</v>
      </c>
      <c r="D19" s="47">
        <v>30</v>
      </c>
      <c r="E19" s="52"/>
      <c r="F19" s="2">
        <f t="shared" si="0"/>
        <v>0.9375</v>
      </c>
      <c r="G19" s="47">
        <v>4</v>
      </c>
      <c r="H19" s="93">
        <v>0</v>
      </c>
      <c r="I19" s="93">
        <v>0</v>
      </c>
      <c r="J19" s="93">
        <v>0</v>
      </c>
      <c r="K19" s="93">
        <v>0</v>
      </c>
      <c r="L19" s="93">
        <v>0</v>
      </c>
      <c r="M19" s="47">
        <v>9</v>
      </c>
      <c r="N19" s="94">
        <v>0</v>
      </c>
    </row>
    <row r="20" spans="1:14" ht="31.5" hidden="1" x14ac:dyDescent="0.25">
      <c r="A20" s="21"/>
      <c r="B20" s="5" t="s">
        <v>30</v>
      </c>
      <c r="C20" s="47">
        <v>87</v>
      </c>
      <c r="D20" s="47">
        <v>82</v>
      </c>
      <c r="E20" s="52"/>
      <c r="F20" s="2">
        <f t="shared" si="0"/>
        <v>0.94252873563218387</v>
      </c>
      <c r="G20" s="47">
        <v>35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47">
        <v>3</v>
      </c>
      <c r="N20" s="94">
        <v>0</v>
      </c>
    </row>
    <row r="21" spans="1:14" hidden="1" x14ac:dyDescent="0.25">
      <c r="A21" s="21"/>
      <c r="B21" s="5" t="s">
        <v>31</v>
      </c>
      <c r="C21" s="47">
        <v>127</v>
      </c>
      <c r="D21" s="47">
        <v>120</v>
      </c>
      <c r="E21" s="52"/>
      <c r="F21" s="2">
        <f t="shared" si="0"/>
        <v>0.94488188976377951</v>
      </c>
      <c r="G21" s="47">
        <v>13</v>
      </c>
      <c r="H21" s="93">
        <v>0</v>
      </c>
      <c r="I21" s="93">
        <v>0</v>
      </c>
      <c r="J21" s="93">
        <v>0</v>
      </c>
      <c r="K21" s="93">
        <v>0</v>
      </c>
      <c r="L21" s="93">
        <v>0</v>
      </c>
      <c r="M21" s="47">
        <v>3</v>
      </c>
      <c r="N21" s="74">
        <v>6</v>
      </c>
    </row>
    <row r="22" spans="1:14" hidden="1" x14ac:dyDescent="0.25">
      <c r="A22" s="21"/>
      <c r="B22" s="5" t="s">
        <v>32</v>
      </c>
      <c r="C22" s="47">
        <v>21</v>
      </c>
      <c r="D22" s="47">
        <v>16</v>
      </c>
      <c r="E22" s="52"/>
      <c r="F22" s="2">
        <f t="shared" si="0"/>
        <v>0.76190476190476186</v>
      </c>
      <c r="G22" s="47">
        <v>2</v>
      </c>
      <c r="H22" s="93">
        <v>0</v>
      </c>
      <c r="I22" s="93">
        <v>0</v>
      </c>
      <c r="J22" s="93">
        <v>0</v>
      </c>
      <c r="K22" s="93">
        <v>0</v>
      </c>
      <c r="L22" s="93">
        <v>0</v>
      </c>
      <c r="M22" s="93">
        <v>0</v>
      </c>
      <c r="N22" s="94">
        <v>0</v>
      </c>
    </row>
    <row r="23" spans="1:14" ht="16.5" hidden="1" thickBot="1" x14ac:dyDescent="0.3">
      <c r="A23" s="26" t="s">
        <v>33</v>
      </c>
      <c r="B23" s="22"/>
      <c r="C23" s="48">
        <f>SUM(C4:C22)</f>
        <v>994</v>
      </c>
      <c r="D23" s="48">
        <f>SUM(D4:D22)</f>
        <v>944</v>
      </c>
      <c r="E23" s="48"/>
      <c r="F23" s="23">
        <f>D23/C23</f>
        <v>0.94969818913480886</v>
      </c>
      <c r="G23" s="48">
        <f>SUM(G4:G22)</f>
        <v>90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48">
        <f t="shared" ref="M23:N23" si="1">SUM(M4:M22)</f>
        <v>38</v>
      </c>
      <c r="N23" s="75">
        <f t="shared" si="1"/>
        <v>6</v>
      </c>
    </row>
    <row r="24" spans="1:14" ht="16.5" hidden="1" thickTop="1" x14ac:dyDescent="0.25">
      <c r="A24" s="19" t="s">
        <v>34</v>
      </c>
      <c r="B24" s="6" t="s">
        <v>14</v>
      </c>
      <c r="C24" s="43">
        <v>8</v>
      </c>
      <c r="D24" s="43">
        <v>7</v>
      </c>
      <c r="E24" s="43"/>
      <c r="F24" s="87">
        <f>D24/C24</f>
        <v>0.875</v>
      </c>
      <c r="G24" s="70">
        <v>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1">
        <v>0</v>
      </c>
    </row>
    <row r="25" spans="1:14" hidden="1" x14ac:dyDescent="0.25">
      <c r="A25" s="25"/>
      <c r="B25" s="1" t="s">
        <v>15</v>
      </c>
      <c r="C25" s="91">
        <v>20</v>
      </c>
      <c r="D25" s="91">
        <v>14</v>
      </c>
      <c r="E25" s="91"/>
      <c r="F25" s="88">
        <f t="shared" ref="F25:F42" si="2">D25/C25</f>
        <v>0.7</v>
      </c>
      <c r="G25" s="93">
        <v>0</v>
      </c>
      <c r="H25" s="93">
        <v>0</v>
      </c>
      <c r="I25" s="93">
        <v>0</v>
      </c>
      <c r="J25" s="93">
        <v>0</v>
      </c>
      <c r="K25" s="93">
        <v>0</v>
      </c>
      <c r="L25" s="93">
        <v>0</v>
      </c>
      <c r="M25" s="93">
        <v>0</v>
      </c>
      <c r="N25" s="94">
        <v>0</v>
      </c>
    </row>
    <row r="26" spans="1:14" hidden="1" x14ac:dyDescent="0.25">
      <c r="A26" s="25"/>
      <c r="B26" s="4" t="s">
        <v>16</v>
      </c>
      <c r="C26" s="91">
        <v>166</v>
      </c>
      <c r="D26" s="91">
        <v>160</v>
      </c>
      <c r="E26" s="91"/>
      <c r="F26" s="88">
        <f t="shared" si="2"/>
        <v>0.96385542168674698</v>
      </c>
      <c r="G26" s="93">
        <v>16</v>
      </c>
      <c r="H26" s="93">
        <v>0</v>
      </c>
      <c r="I26" s="93">
        <v>1</v>
      </c>
      <c r="J26" s="93">
        <v>0</v>
      </c>
      <c r="K26" s="93">
        <v>0</v>
      </c>
      <c r="L26" s="93">
        <v>0</v>
      </c>
      <c r="M26" s="93">
        <v>0</v>
      </c>
      <c r="N26" s="94">
        <v>8</v>
      </c>
    </row>
    <row r="27" spans="1:14" hidden="1" x14ac:dyDescent="0.25">
      <c r="A27" s="25"/>
      <c r="B27" s="4" t="s">
        <v>17</v>
      </c>
      <c r="C27" s="91">
        <v>166</v>
      </c>
      <c r="D27" s="91">
        <v>160</v>
      </c>
      <c r="E27" s="91"/>
      <c r="F27" s="88">
        <f t="shared" si="2"/>
        <v>0.96385542168674698</v>
      </c>
      <c r="G27" s="93">
        <v>10</v>
      </c>
      <c r="H27" s="93">
        <v>0</v>
      </c>
      <c r="I27" s="93">
        <v>3</v>
      </c>
      <c r="J27" s="93">
        <v>0</v>
      </c>
      <c r="K27" s="93">
        <v>0</v>
      </c>
      <c r="L27" s="93">
        <v>0</v>
      </c>
      <c r="M27" s="93">
        <v>0</v>
      </c>
      <c r="N27" s="94">
        <v>25</v>
      </c>
    </row>
    <row r="28" spans="1:14" hidden="1" x14ac:dyDescent="0.25">
      <c r="A28" s="25"/>
      <c r="B28" s="4" t="s">
        <v>18</v>
      </c>
      <c r="C28" s="91">
        <v>157</v>
      </c>
      <c r="D28" s="91">
        <v>159</v>
      </c>
      <c r="E28" s="91"/>
      <c r="F28" s="88">
        <f t="shared" si="2"/>
        <v>1.0127388535031847</v>
      </c>
      <c r="G28" s="93">
        <v>16</v>
      </c>
      <c r="H28" s="93">
        <v>0</v>
      </c>
      <c r="I28" s="93">
        <v>3</v>
      </c>
      <c r="J28" s="93">
        <v>0</v>
      </c>
      <c r="K28" s="93">
        <v>0</v>
      </c>
      <c r="L28" s="93">
        <v>0</v>
      </c>
      <c r="M28" s="93">
        <v>0</v>
      </c>
      <c r="N28" s="94">
        <v>5</v>
      </c>
    </row>
    <row r="29" spans="1:14" hidden="1" x14ac:dyDescent="0.25">
      <c r="A29" s="25"/>
      <c r="B29" s="4" t="s">
        <v>19</v>
      </c>
      <c r="C29" s="91">
        <v>20</v>
      </c>
      <c r="D29" s="91">
        <v>19</v>
      </c>
      <c r="E29" s="91"/>
      <c r="F29" s="88">
        <f t="shared" si="2"/>
        <v>0.95</v>
      </c>
      <c r="G29" s="93">
        <v>4</v>
      </c>
      <c r="H29" s="93">
        <v>0</v>
      </c>
      <c r="I29" s="93">
        <v>0</v>
      </c>
      <c r="J29" s="93">
        <v>0</v>
      </c>
      <c r="K29" s="93">
        <v>0</v>
      </c>
      <c r="L29" s="93">
        <v>0</v>
      </c>
      <c r="M29" s="93">
        <v>0</v>
      </c>
      <c r="N29" s="94">
        <v>0</v>
      </c>
    </row>
    <row r="30" spans="1:14" hidden="1" x14ac:dyDescent="0.25">
      <c r="A30" s="25"/>
      <c r="B30" s="4" t="s">
        <v>20</v>
      </c>
      <c r="C30" s="91">
        <v>21</v>
      </c>
      <c r="D30" s="91">
        <v>21</v>
      </c>
      <c r="E30" s="91"/>
      <c r="F30" s="88">
        <f t="shared" si="2"/>
        <v>1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4">
        <v>1</v>
      </c>
    </row>
    <row r="31" spans="1:14" ht="31.5" hidden="1" x14ac:dyDescent="0.25">
      <c r="A31" s="25"/>
      <c r="B31" s="4" t="s">
        <v>21</v>
      </c>
      <c r="C31" s="91">
        <v>24</v>
      </c>
      <c r="D31" s="91">
        <v>22</v>
      </c>
      <c r="E31" s="91"/>
      <c r="F31" s="88">
        <f t="shared" si="2"/>
        <v>0.91666666666666663</v>
      </c>
      <c r="G31" s="93">
        <v>7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4">
        <v>0</v>
      </c>
    </row>
    <row r="32" spans="1:14" hidden="1" x14ac:dyDescent="0.25">
      <c r="A32" s="25"/>
      <c r="B32" s="4" t="s">
        <v>22</v>
      </c>
      <c r="C32" s="91">
        <v>17</v>
      </c>
      <c r="D32" s="91">
        <v>17</v>
      </c>
      <c r="E32" s="91"/>
      <c r="F32" s="88">
        <f t="shared" si="2"/>
        <v>1</v>
      </c>
      <c r="G32" s="93">
        <v>0</v>
      </c>
      <c r="H32" s="93">
        <v>0</v>
      </c>
      <c r="I32" s="93">
        <v>0</v>
      </c>
      <c r="J32" s="93">
        <v>0</v>
      </c>
      <c r="K32" s="93">
        <v>0</v>
      </c>
      <c r="L32" s="93">
        <v>0</v>
      </c>
      <c r="M32" s="93">
        <v>0</v>
      </c>
      <c r="N32" s="94">
        <v>0</v>
      </c>
    </row>
    <row r="33" spans="1:14" hidden="1" x14ac:dyDescent="0.25">
      <c r="A33" s="25"/>
      <c r="B33" s="4" t="s">
        <v>23</v>
      </c>
      <c r="C33" s="91">
        <v>12</v>
      </c>
      <c r="D33" s="91">
        <v>12</v>
      </c>
      <c r="E33" s="91"/>
      <c r="F33" s="88">
        <f t="shared" si="2"/>
        <v>1</v>
      </c>
      <c r="G33" s="93">
        <v>6</v>
      </c>
      <c r="H33" s="93">
        <v>0</v>
      </c>
      <c r="I33" s="93">
        <v>0</v>
      </c>
      <c r="J33" s="93">
        <v>0</v>
      </c>
      <c r="K33" s="93">
        <v>0</v>
      </c>
      <c r="L33" s="93">
        <v>0</v>
      </c>
      <c r="M33" s="93">
        <v>0</v>
      </c>
      <c r="N33" s="94">
        <v>0</v>
      </c>
    </row>
    <row r="34" spans="1:14" hidden="1" x14ac:dyDescent="0.25">
      <c r="A34" s="25"/>
      <c r="B34" s="4" t="s">
        <v>24</v>
      </c>
      <c r="C34" s="91">
        <v>5</v>
      </c>
      <c r="D34" s="91">
        <v>2</v>
      </c>
      <c r="E34" s="91"/>
      <c r="F34" s="88">
        <f t="shared" si="2"/>
        <v>0.4</v>
      </c>
      <c r="G34" s="93">
        <v>0</v>
      </c>
      <c r="H34" s="93">
        <v>0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4">
        <v>0</v>
      </c>
    </row>
    <row r="35" spans="1:14" hidden="1" x14ac:dyDescent="0.25">
      <c r="A35" s="25"/>
      <c r="B35" s="4" t="s">
        <v>25</v>
      </c>
      <c r="C35" s="91">
        <v>2</v>
      </c>
      <c r="D35" s="91">
        <v>1</v>
      </c>
      <c r="E35" s="91"/>
      <c r="F35" s="88">
        <f t="shared" si="2"/>
        <v>0.5</v>
      </c>
      <c r="G35" s="93"/>
      <c r="H35" s="93">
        <v>0</v>
      </c>
      <c r="I35" s="93">
        <v>0</v>
      </c>
      <c r="J35" s="93">
        <v>0</v>
      </c>
      <c r="K35" s="93">
        <v>0</v>
      </c>
      <c r="L35" s="93">
        <v>0</v>
      </c>
      <c r="M35" s="93">
        <v>0</v>
      </c>
      <c r="N35" s="94">
        <v>0</v>
      </c>
    </row>
    <row r="36" spans="1:14" hidden="1" x14ac:dyDescent="0.25">
      <c r="A36" s="25"/>
      <c r="B36" s="4" t="s">
        <v>27</v>
      </c>
      <c r="C36" s="91">
        <v>26</v>
      </c>
      <c r="D36" s="91">
        <v>30</v>
      </c>
      <c r="E36" s="91"/>
      <c r="F36" s="88">
        <f t="shared" si="2"/>
        <v>1.1538461538461537</v>
      </c>
      <c r="G36" s="93">
        <v>0</v>
      </c>
      <c r="H36" s="93">
        <v>0</v>
      </c>
      <c r="I36" s="93">
        <v>0</v>
      </c>
      <c r="J36" s="93">
        <v>0</v>
      </c>
      <c r="K36" s="93">
        <v>0</v>
      </c>
      <c r="L36" s="93">
        <v>0</v>
      </c>
      <c r="M36" s="93">
        <v>0</v>
      </c>
      <c r="N36" s="94">
        <v>0</v>
      </c>
    </row>
    <row r="37" spans="1:14" hidden="1" x14ac:dyDescent="0.25">
      <c r="A37" s="25"/>
      <c r="B37" s="4" t="s">
        <v>28</v>
      </c>
      <c r="C37" s="91">
        <v>83</v>
      </c>
      <c r="D37" s="91">
        <v>80</v>
      </c>
      <c r="E37" s="91"/>
      <c r="F37" s="88">
        <f t="shared" si="2"/>
        <v>0.96385542168674698</v>
      </c>
      <c r="G37" s="93">
        <v>3</v>
      </c>
      <c r="H37" s="93">
        <v>0</v>
      </c>
      <c r="I37" s="93">
        <v>0</v>
      </c>
      <c r="J37" s="93">
        <v>0</v>
      </c>
      <c r="K37" s="93">
        <v>0</v>
      </c>
      <c r="L37" s="93">
        <v>0</v>
      </c>
      <c r="M37" s="93">
        <v>0</v>
      </c>
      <c r="N37" s="94">
        <v>0</v>
      </c>
    </row>
    <row r="38" spans="1:14" hidden="1" x14ac:dyDescent="0.25">
      <c r="A38" s="25"/>
      <c r="B38" s="4" t="s">
        <v>29</v>
      </c>
      <c r="C38" s="91">
        <v>32</v>
      </c>
      <c r="D38" s="91">
        <v>29</v>
      </c>
      <c r="E38" s="91"/>
      <c r="F38" s="88">
        <f t="shared" si="2"/>
        <v>0.90625</v>
      </c>
      <c r="G38" s="93">
        <v>0</v>
      </c>
      <c r="H38" s="93">
        <v>0</v>
      </c>
      <c r="I38" s="93"/>
      <c r="J38" s="93">
        <v>0</v>
      </c>
      <c r="K38" s="93">
        <v>0</v>
      </c>
      <c r="L38" s="93">
        <v>0</v>
      </c>
      <c r="M38" s="93">
        <v>0</v>
      </c>
      <c r="N38" s="94">
        <v>0</v>
      </c>
    </row>
    <row r="39" spans="1:14" ht="31.5" hidden="1" x14ac:dyDescent="0.25">
      <c r="A39" s="25"/>
      <c r="B39" s="5" t="s">
        <v>30</v>
      </c>
      <c r="C39" s="91">
        <v>87</v>
      </c>
      <c r="D39" s="91">
        <v>83</v>
      </c>
      <c r="E39" s="91"/>
      <c r="F39" s="88">
        <f t="shared" si="2"/>
        <v>0.95402298850574707</v>
      </c>
      <c r="G39" s="93">
        <v>44</v>
      </c>
      <c r="H39" s="93">
        <v>0</v>
      </c>
      <c r="I39" s="93">
        <v>0</v>
      </c>
      <c r="J39" s="93">
        <v>0</v>
      </c>
      <c r="K39" s="93">
        <v>0</v>
      </c>
      <c r="L39" s="93">
        <v>0</v>
      </c>
      <c r="M39" s="93">
        <v>0</v>
      </c>
      <c r="N39" s="94">
        <v>5</v>
      </c>
    </row>
    <row r="40" spans="1:14" hidden="1" x14ac:dyDescent="0.25">
      <c r="A40" s="21"/>
      <c r="B40" s="5" t="s">
        <v>31</v>
      </c>
      <c r="C40" s="44">
        <v>127</v>
      </c>
      <c r="D40" s="95">
        <v>123</v>
      </c>
      <c r="E40" s="95"/>
      <c r="F40" s="88">
        <f t="shared" si="2"/>
        <v>0.96850393700787396</v>
      </c>
      <c r="G40" s="53">
        <v>11</v>
      </c>
      <c r="H40" s="93">
        <v>0</v>
      </c>
      <c r="I40" s="53">
        <v>2</v>
      </c>
      <c r="J40" s="93">
        <v>0</v>
      </c>
      <c r="K40" s="93">
        <v>0</v>
      </c>
      <c r="L40" s="93">
        <v>0</v>
      </c>
      <c r="M40" s="93">
        <v>0</v>
      </c>
      <c r="N40" s="56">
        <v>4</v>
      </c>
    </row>
    <row r="41" spans="1:14" hidden="1" x14ac:dyDescent="0.25">
      <c r="A41" s="21"/>
      <c r="B41" s="5" t="s">
        <v>32</v>
      </c>
      <c r="C41" s="44">
        <v>21</v>
      </c>
      <c r="D41" s="95">
        <v>19</v>
      </c>
      <c r="E41" s="95"/>
      <c r="F41" s="88">
        <f t="shared" si="2"/>
        <v>0.90476190476190477</v>
      </c>
      <c r="G41" s="53">
        <v>1</v>
      </c>
      <c r="H41" s="93">
        <v>0</v>
      </c>
      <c r="I41" s="93">
        <v>0</v>
      </c>
      <c r="J41" s="93">
        <v>0</v>
      </c>
      <c r="K41" s="93">
        <v>0</v>
      </c>
      <c r="L41" s="93">
        <v>0</v>
      </c>
      <c r="M41" s="93">
        <v>0</v>
      </c>
      <c r="N41" s="94">
        <v>0</v>
      </c>
    </row>
    <row r="42" spans="1:14" ht="16.5" hidden="1" thickBot="1" x14ac:dyDescent="0.3">
      <c r="A42" s="26" t="s">
        <v>33</v>
      </c>
      <c r="B42" s="22"/>
      <c r="C42" s="45">
        <f>SUM(C24:C41)</f>
        <v>994</v>
      </c>
      <c r="D42" s="45">
        <f>SUM(D24:D41)</f>
        <v>958</v>
      </c>
      <c r="E42" s="45"/>
      <c r="F42" s="89">
        <f t="shared" si="2"/>
        <v>0.96378269617706236</v>
      </c>
      <c r="G42" s="57">
        <f>SUM(G24:G41)</f>
        <v>118</v>
      </c>
      <c r="H42" s="57">
        <f t="shared" ref="H42:M42" si="3">SUM(H24:H41)</f>
        <v>0</v>
      </c>
      <c r="I42" s="57">
        <f t="shared" si="3"/>
        <v>9</v>
      </c>
      <c r="J42" s="57">
        <f t="shared" si="3"/>
        <v>0</v>
      </c>
      <c r="K42" s="57">
        <f t="shared" si="3"/>
        <v>0</v>
      </c>
      <c r="L42" s="57">
        <f t="shared" si="3"/>
        <v>0</v>
      </c>
      <c r="M42" s="57">
        <f t="shared" si="3"/>
        <v>0</v>
      </c>
      <c r="N42" s="59">
        <f>SUM(N24:N41)</f>
        <v>48</v>
      </c>
    </row>
    <row r="43" spans="1:14" ht="16.5" hidden="1" thickTop="1" x14ac:dyDescent="0.25">
      <c r="A43" s="19" t="s">
        <v>35</v>
      </c>
      <c r="B43" s="6" t="s">
        <v>14</v>
      </c>
      <c r="C43" s="43">
        <v>7</v>
      </c>
      <c r="D43" s="70">
        <v>6</v>
      </c>
      <c r="E43" s="70"/>
      <c r="F43" s="87">
        <v>0.8571428571428571</v>
      </c>
      <c r="G43" s="70">
        <v>1</v>
      </c>
      <c r="H43" s="70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1">
        <v>0</v>
      </c>
    </row>
    <row r="44" spans="1:14" hidden="1" x14ac:dyDescent="0.25">
      <c r="A44" s="25"/>
      <c r="B44" s="1" t="s">
        <v>15</v>
      </c>
      <c r="C44" s="91">
        <v>20</v>
      </c>
      <c r="D44" s="93">
        <v>10</v>
      </c>
      <c r="E44" s="93"/>
      <c r="F44" s="92">
        <v>0.5</v>
      </c>
      <c r="G44" s="93">
        <v>2</v>
      </c>
      <c r="H44" s="93">
        <v>0</v>
      </c>
      <c r="I44" s="93">
        <v>0</v>
      </c>
      <c r="J44" s="93">
        <v>0</v>
      </c>
      <c r="K44" s="93">
        <v>0</v>
      </c>
      <c r="L44" s="93">
        <v>0</v>
      </c>
      <c r="M44" s="93">
        <v>0</v>
      </c>
      <c r="N44" s="94">
        <v>0</v>
      </c>
    </row>
    <row r="45" spans="1:14" hidden="1" x14ac:dyDescent="0.25">
      <c r="A45" s="25"/>
      <c r="B45" s="4" t="s">
        <v>16</v>
      </c>
      <c r="C45" s="91">
        <v>280</v>
      </c>
      <c r="D45" s="93">
        <v>260</v>
      </c>
      <c r="E45" s="93"/>
      <c r="F45" s="92">
        <v>0.9285714285714286</v>
      </c>
      <c r="G45" s="93">
        <v>25</v>
      </c>
      <c r="H45" s="93">
        <v>5</v>
      </c>
      <c r="I45" s="93">
        <v>7</v>
      </c>
      <c r="J45" s="93">
        <v>0</v>
      </c>
      <c r="K45" s="93">
        <v>0</v>
      </c>
      <c r="L45" s="93">
        <v>0</v>
      </c>
      <c r="M45" s="93">
        <v>1</v>
      </c>
      <c r="N45" s="94">
        <v>5</v>
      </c>
    </row>
    <row r="46" spans="1:14" hidden="1" x14ac:dyDescent="0.25">
      <c r="A46" s="25"/>
      <c r="B46" s="4" t="s">
        <v>17</v>
      </c>
      <c r="C46" s="91">
        <v>280</v>
      </c>
      <c r="D46" s="93">
        <v>264</v>
      </c>
      <c r="E46" s="93"/>
      <c r="F46" s="92">
        <v>0.94285714285714284</v>
      </c>
      <c r="G46" s="93">
        <v>27</v>
      </c>
      <c r="H46" s="93"/>
      <c r="I46" s="93">
        <v>1</v>
      </c>
      <c r="J46" s="93">
        <v>0</v>
      </c>
      <c r="K46" s="93">
        <v>0</v>
      </c>
      <c r="L46" s="93">
        <v>0</v>
      </c>
      <c r="M46" s="93">
        <v>8</v>
      </c>
      <c r="N46" s="94">
        <v>1</v>
      </c>
    </row>
    <row r="47" spans="1:14" hidden="1" x14ac:dyDescent="0.25">
      <c r="A47" s="25"/>
      <c r="B47" s="4" t="s">
        <v>18</v>
      </c>
      <c r="C47" s="91">
        <v>280</v>
      </c>
      <c r="D47" s="93">
        <v>254</v>
      </c>
      <c r="E47" s="93"/>
      <c r="F47" s="92">
        <v>0.90714285714285714</v>
      </c>
      <c r="G47" s="93">
        <v>28</v>
      </c>
      <c r="H47" s="93">
        <v>4</v>
      </c>
      <c r="I47" s="93">
        <v>3</v>
      </c>
      <c r="J47" s="93">
        <v>0</v>
      </c>
      <c r="K47" s="93">
        <v>0</v>
      </c>
      <c r="L47" s="93">
        <v>0</v>
      </c>
      <c r="M47" s="93">
        <v>3</v>
      </c>
      <c r="N47" s="94">
        <v>3</v>
      </c>
    </row>
    <row r="48" spans="1:14" hidden="1" x14ac:dyDescent="0.25">
      <c r="A48" s="25"/>
      <c r="B48" s="4" t="s">
        <v>19</v>
      </c>
      <c r="C48" s="91">
        <v>13</v>
      </c>
      <c r="D48" s="93">
        <v>13</v>
      </c>
      <c r="E48" s="93"/>
      <c r="F48" s="92">
        <v>1</v>
      </c>
      <c r="G48" s="93">
        <v>4</v>
      </c>
      <c r="H48" s="93">
        <v>0</v>
      </c>
      <c r="I48" s="93">
        <v>0</v>
      </c>
      <c r="J48" s="93">
        <v>0</v>
      </c>
      <c r="K48" s="93">
        <v>0</v>
      </c>
      <c r="L48" s="93">
        <v>0</v>
      </c>
      <c r="M48" s="93">
        <v>0</v>
      </c>
      <c r="N48" s="94">
        <v>0</v>
      </c>
    </row>
    <row r="49" spans="1:14" hidden="1" x14ac:dyDescent="0.25">
      <c r="A49" s="25"/>
      <c r="B49" s="4" t="s">
        <v>20</v>
      </c>
      <c r="C49" s="91">
        <v>25</v>
      </c>
      <c r="D49" s="93">
        <v>25</v>
      </c>
      <c r="E49" s="93"/>
      <c r="F49" s="92">
        <v>1</v>
      </c>
      <c r="G49" s="93">
        <v>1</v>
      </c>
      <c r="H49" s="93">
        <v>0</v>
      </c>
      <c r="I49" s="93">
        <v>0</v>
      </c>
      <c r="J49" s="93">
        <v>0</v>
      </c>
      <c r="K49" s="93">
        <v>0</v>
      </c>
      <c r="L49" s="93">
        <v>0</v>
      </c>
      <c r="M49" s="93">
        <v>0</v>
      </c>
      <c r="N49" s="94">
        <v>0</v>
      </c>
    </row>
    <row r="50" spans="1:14" ht="31.5" hidden="1" x14ac:dyDescent="0.25">
      <c r="A50" s="25"/>
      <c r="B50" s="4" t="s">
        <v>21</v>
      </c>
      <c r="C50" s="91">
        <v>24</v>
      </c>
      <c r="D50" s="93">
        <v>22</v>
      </c>
      <c r="E50" s="93"/>
      <c r="F50" s="92">
        <v>0.91666666666666663</v>
      </c>
      <c r="G50" s="93">
        <v>1</v>
      </c>
      <c r="H50" s="93">
        <v>0</v>
      </c>
      <c r="I50" s="93">
        <v>1</v>
      </c>
      <c r="J50" s="93">
        <v>0</v>
      </c>
      <c r="K50" s="93">
        <v>0</v>
      </c>
      <c r="L50" s="93">
        <v>0</v>
      </c>
      <c r="M50" s="93">
        <v>0</v>
      </c>
      <c r="N50" s="94">
        <v>0</v>
      </c>
    </row>
    <row r="51" spans="1:14" hidden="1" x14ac:dyDescent="0.25">
      <c r="A51" s="25"/>
      <c r="B51" s="4" t="s">
        <v>22</v>
      </c>
      <c r="C51" s="91">
        <v>14</v>
      </c>
      <c r="D51" s="93">
        <v>14</v>
      </c>
      <c r="E51" s="93"/>
      <c r="F51" s="92">
        <v>1</v>
      </c>
      <c r="G51" s="93">
        <v>2</v>
      </c>
      <c r="H51" s="93">
        <v>1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4">
        <v>0</v>
      </c>
    </row>
    <row r="52" spans="1:14" hidden="1" x14ac:dyDescent="0.25">
      <c r="A52" s="25"/>
      <c r="B52" s="4" t="s">
        <v>23</v>
      </c>
      <c r="C52" s="91">
        <v>12</v>
      </c>
      <c r="D52" s="93">
        <v>12</v>
      </c>
      <c r="E52" s="93"/>
      <c r="F52" s="92">
        <v>1</v>
      </c>
      <c r="G52" s="93">
        <v>6</v>
      </c>
      <c r="H52" s="93">
        <v>0</v>
      </c>
      <c r="I52" s="93">
        <v>0</v>
      </c>
      <c r="J52" s="93">
        <v>0</v>
      </c>
      <c r="K52" s="93">
        <v>0</v>
      </c>
      <c r="L52" s="93">
        <v>0</v>
      </c>
      <c r="M52" s="93">
        <v>0</v>
      </c>
      <c r="N52" s="94">
        <v>0</v>
      </c>
    </row>
    <row r="53" spans="1:14" hidden="1" x14ac:dyDescent="0.25">
      <c r="A53" s="25"/>
      <c r="B53" s="4" t="s">
        <v>24</v>
      </c>
      <c r="C53" s="91">
        <v>5</v>
      </c>
      <c r="D53" s="93">
        <v>0</v>
      </c>
      <c r="E53" s="93"/>
      <c r="F53" s="92">
        <v>0</v>
      </c>
      <c r="G53" s="93">
        <v>0</v>
      </c>
      <c r="H53" s="93">
        <v>0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4">
        <v>0</v>
      </c>
    </row>
    <row r="54" spans="1:14" hidden="1" x14ac:dyDescent="0.25">
      <c r="A54" s="25"/>
      <c r="B54" s="4" t="s">
        <v>25</v>
      </c>
      <c r="C54" s="91">
        <v>2</v>
      </c>
      <c r="D54" s="93">
        <v>1</v>
      </c>
      <c r="E54" s="93"/>
      <c r="F54" s="92">
        <v>0.5</v>
      </c>
      <c r="G54" s="93">
        <v>0</v>
      </c>
      <c r="H54" s="93">
        <v>0</v>
      </c>
      <c r="I54" s="93">
        <v>0</v>
      </c>
      <c r="J54" s="93">
        <v>0</v>
      </c>
      <c r="K54" s="93">
        <v>0</v>
      </c>
      <c r="L54" s="93">
        <v>0</v>
      </c>
      <c r="M54" s="93">
        <v>0</v>
      </c>
      <c r="N54" s="94">
        <v>0</v>
      </c>
    </row>
    <row r="55" spans="1:14" ht="31.5" hidden="1" x14ac:dyDescent="0.25">
      <c r="A55" s="25"/>
      <c r="B55" s="4" t="s">
        <v>36</v>
      </c>
      <c r="C55" s="91">
        <v>9</v>
      </c>
      <c r="D55" s="93">
        <v>8</v>
      </c>
      <c r="E55" s="93"/>
      <c r="F55" s="92">
        <v>0.88888888888888884</v>
      </c>
      <c r="G55" s="93">
        <v>3</v>
      </c>
      <c r="H55" s="93">
        <v>0</v>
      </c>
      <c r="I55" s="93">
        <v>0</v>
      </c>
      <c r="J55" s="93">
        <v>0</v>
      </c>
      <c r="K55" s="93">
        <v>0</v>
      </c>
      <c r="L55" s="93">
        <v>0</v>
      </c>
      <c r="M55" s="93">
        <v>0</v>
      </c>
      <c r="N55" s="94">
        <v>0</v>
      </c>
    </row>
    <row r="56" spans="1:14" hidden="1" x14ac:dyDescent="0.25">
      <c r="A56" s="25"/>
      <c r="B56" s="4" t="s">
        <v>27</v>
      </c>
      <c r="C56" s="91">
        <v>15</v>
      </c>
      <c r="D56" s="93">
        <v>15</v>
      </c>
      <c r="E56" s="93"/>
      <c r="F56" s="92">
        <v>1</v>
      </c>
      <c r="G56" s="93">
        <v>5</v>
      </c>
      <c r="H56" s="93">
        <v>0</v>
      </c>
      <c r="I56" s="93">
        <v>0</v>
      </c>
      <c r="J56" s="93">
        <v>0</v>
      </c>
      <c r="K56" s="93">
        <v>0</v>
      </c>
      <c r="L56" s="93">
        <v>0</v>
      </c>
      <c r="M56" s="93">
        <v>0</v>
      </c>
      <c r="N56" s="94">
        <v>0</v>
      </c>
    </row>
    <row r="57" spans="1:14" hidden="1" x14ac:dyDescent="0.25">
      <c r="A57" s="25"/>
      <c r="B57" s="4" t="s">
        <v>29</v>
      </c>
      <c r="C57" s="91">
        <v>37</v>
      </c>
      <c r="D57" s="93">
        <v>35</v>
      </c>
      <c r="E57" s="93"/>
      <c r="F57" s="92">
        <v>0.94594594594594594</v>
      </c>
      <c r="G57" s="93">
        <v>5</v>
      </c>
      <c r="H57" s="93">
        <v>0</v>
      </c>
      <c r="I57" s="93">
        <v>0</v>
      </c>
      <c r="J57" s="93">
        <v>0</v>
      </c>
      <c r="K57" s="93">
        <v>0</v>
      </c>
      <c r="L57" s="93">
        <v>0</v>
      </c>
      <c r="M57" s="93">
        <v>0</v>
      </c>
      <c r="N57" s="94">
        <v>1</v>
      </c>
    </row>
    <row r="58" spans="1:14" ht="31.5" hidden="1" x14ac:dyDescent="0.25">
      <c r="A58" s="25"/>
      <c r="B58" s="5" t="s">
        <v>30</v>
      </c>
      <c r="C58" s="91">
        <v>87</v>
      </c>
      <c r="D58" s="93">
        <v>80</v>
      </c>
      <c r="E58" s="93"/>
      <c r="F58" s="92">
        <v>0.91954022988505746</v>
      </c>
      <c r="G58" s="93">
        <v>23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4">
        <v>0</v>
      </c>
    </row>
    <row r="59" spans="1:14" hidden="1" x14ac:dyDescent="0.25">
      <c r="A59" s="25"/>
      <c r="B59" s="5" t="s">
        <v>37</v>
      </c>
      <c r="C59" s="91">
        <v>0</v>
      </c>
      <c r="D59" s="93">
        <v>0</v>
      </c>
      <c r="E59" s="93"/>
      <c r="F59" s="92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  <c r="L59" s="93">
        <v>0</v>
      </c>
      <c r="M59" s="93">
        <v>0</v>
      </c>
      <c r="N59" s="94">
        <v>0</v>
      </c>
    </row>
    <row r="60" spans="1:14" hidden="1" x14ac:dyDescent="0.25">
      <c r="A60" s="25"/>
      <c r="B60" s="5" t="s">
        <v>32</v>
      </c>
      <c r="C60" s="91">
        <v>10</v>
      </c>
      <c r="D60" s="93">
        <v>8</v>
      </c>
      <c r="E60" s="93"/>
      <c r="F60" s="92">
        <v>0.8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  <c r="L60" s="93">
        <v>0</v>
      </c>
      <c r="M60" s="93">
        <v>0</v>
      </c>
      <c r="N60" s="94">
        <v>0</v>
      </c>
    </row>
    <row r="61" spans="1:14" ht="16.5" hidden="1" thickBot="1" x14ac:dyDescent="0.3">
      <c r="A61" s="26" t="s">
        <v>33</v>
      </c>
      <c r="B61" s="51"/>
      <c r="C61" s="96">
        <f>SUM(C43:C60)</f>
        <v>1120</v>
      </c>
      <c r="D61" s="58">
        <f>SUM(D43:D60)</f>
        <v>1027</v>
      </c>
      <c r="E61" s="58"/>
      <c r="F61" s="97">
        <f>D61/C61</f>
        <v>0.91696428571428568</v>
      </c>
      <c r="G61" s="58">
        <f t="shared" ref="G61:N61" si="4">SUM(G43:G60)</f>
        <v>133</v>
      </c>
      <c r="H61" s="58">
        <f t="shared" si="4"/>
        <v>10</v>
      </c>
      <c r="I61" s="58">
        <f>SUM(I43:I60)</f>
        <v>12</v>
      </c>
      <c r="J61" s="58">
        <f t="shared" si="4"/>
        <v>0</v>
      </c>
      <c r="K61" s="58">
        <f t="shared" si="4"/>
        <v>0</v>
      </c>
      <c r="L61" s="58">
        <f t="shared" si="4"/>
        <v>0</v>
      </c>
      <c r="M61" s="58">
        <f t="shared" si="4"/>
        <v>12</v>
      </c>
      <c r="N61" s="98">
        <f t="shared" si="4"/>
        <v>10</v>
      </c>
    </row>
    <row r="62" spans="1:14" ht="16.5" hidden="1" thickTop="1" x14ac:dyDescent="0.25">
      <c r="A62" s="19" t="s">
        <v>38</v>
      </c>
      <c r="B62" s="6" t="s">
        <v>14</v>
      </c>
      <c r="C62" s="43">
        <v>8</v>
      </c>
      <c r="D62" s="70">
        <v>8</v>
      </c>
      <c r="E62" s="70"/>
      <c r="F62" s="87">
        <f>D62/C62</f>
        <v>1</v>
      </c>
      <c r="G62" s="70">
        <v>0</v>
      </c>
      <c r="H62" s="99">
        <v>0</v>
      </c>
      <c r="I62" s="70">
        <v>0</v>
      </c>
      <c r="J62" s="100">
        <v>0</v>
      </c>
      <c r="K62" s="70">
        <v>0</v>
      </c>
      <c r="L62" s="70">
        <v>0</v>
      </c>
      <c r="M62" s="70">
        <v>0</v>
      </c>
      <c r="N62" s="71">
        <v>0</v>
      </c>
    </row>
    <row r="63" spans="1:14" hidden="1" x14ac:dyDescent="0.25">
      <c r="A63" s="25"/>
      <c r="B63" s="1" t="s">
        <v>15</v>
      </c>
      <c r="C63" s="91">
        <v>20</v>
      </c>
      <c r="D63" s="93">
        <v>13</v>
      </c>
      <c r="E63" s="93"/>
      <c r="F63" s="88">
        <f t="shared" ref="F63:F79" si="5">D63/C63</f>
        <v>0.65</v>
      </c>
      <c r="G63" s="93">
        <v>0</v>
      </c>
      <c r="H63" s="101">
        <v>0</v>
      </c>
      <c r="I63" s="53">
        <v>0</v>
      </c>
      <c r="J63" s="102">
        <v>0</v>
      </c>
      <c r="K63" s="93">
        <v>0</v>
      </c>
      <c r="L63" s="93">
        <v>0</v>
      </c>
      <c r="M63" s="93">
        <v>0</v>
      </c>
      <c r="N63" s="94">
        <v>0</v>
      </c>
    </row>
    <row r="64" spans="1:14" hidden="1" x14ac:dyDescent="0.25">
      <c r="A64" s="21"/>
      <c r="B64" s="4" t="s">
        <v>16</v>
      </c>
      <c r="C64" s="44">
        <v>166</v>
      </c>
      <c r="D64" s="53">
        <v>154</v>
      </c>
      <c r="E64" s="53"/>
      <c r="F64" s="88">
        <f t="shared" si="5"/>
        <v>0.92771084337349397</v>
      </c>
      <c r="G64" s="53">
        <v>35</v>
      </c>
      <c r="H64" s="54">
        <v>15</v>
      </c>
      <c r="I64" s="53">
        <v>0</v>
      </c>
      <c r="J64" s="55">
        <v>21</v>
      </c>
      <c r="K64" s="53">
        <v>0</v>
      </c>
      <c r="L64" s="53">
        <v>0</v>
      </c>
      <c r="M64" s="53">
        <v>22</v>
      </c>
      <c r="N64" s="56">
        <v>0</v>
      </c>
    </row>
    <row r="65" spans="1:14" hidden="1" x14ac:dyDescent="0.25">
      <c r="A65" s="21"/>
      <c r="B65" s="4" t="s">
        <v>17</v>
      </c>
      <c r="C65" s="44">
        <v>166</v>
      </c>
      <c r="D65" s="53">
        <v>159</v>
      </c>
      <c r="E65" s="53"/>
      <c r="F65" s="88">
        <f t="shared" si="5"/>
        <v>0.95783132530120485</v>
      </c>
      <c r="G65" s="53">
        <v>27</v>
      </c>
      <c r="H65" s="54">
        <v>20</v>
      </c>
      <c r="I65" s="53">
        <v>0</v>
      </c>
      <c r="J65" s="55">
        <v>19</v>
      </c>
      <c r="K65" s="53">
        <v>0</v>
      </c>
      <c r="L65" s="53">
        <v>0</v>
      </c>
      <c r="M65" s="53">
        <v>27</v>
      </c>
      <c r="N65" s="56">
        <v>0</v>
      </c>
    </row>
    <row r="66" spans="1:14" hidden="1" x14ac:dyDescent="0.25">
      <c r="A66" s="21"/>
      <c r="B66" s="4" t="s">
        <v>18</v>
      </c>
      <c r="C66" s="44">
        <v>157</v>
      </c>
      <c r="D66" s="53">
        <v>142</v>
      </c>
      <c r="E66" s="53"/>
      <c r="F66" s="88">
        <f t="shared" si="5"/>
        <v>0.90445859872611467</v>
      </c>
      <c r="G66" s="53">
        <v>34</v>
      </c>
      <c r="H66" s="54">
        <v>13</v>
      </c>
      <c r="I66" s="53">
        <v>0</v>
      </c>
      <c r="J66" s="55">
        <v>3</v>
      </c>
      <c r="K66" s="53">
        <v>0</v>
      </c>
      <c r="L66" s="53">
        <v>0</v>
      </c>
      <c r="M66" s="53">
        <v>16</v>
      </c>
      <c r="N66" s="56">
        <v>0</v>
      </c>
    </row>
    <row r="67" spans="1:14" hidden="1" x14ac:dyDescent="0.25">
      <c r="A67" s="21"/>
      <c r="B67" s="4" t="s">
        <v>19</v>
      </c>
      <c r="C67" s="44">
        <v>20</v>
      </c>
      <c r="D67" s="53">
        <v>20</v>
      </c>
      <c r="E67" s="53"/>
      <c r="F67" s="88">
        <f t="shared" si="5"/>
        <v>1</v>
      </c>
      <c r="G67" s="53">
        <v>11</v>
      </c>
      <c r="H67" s="54">
        <v>0</v>
      </c>
      <c r="I67" s="53">
        <v>0</v>
      </c>
      <c r="J67" s="55">
        <v>0</v>
      </c>
      <c r="K67" s="53">
        <v>0</v>
      </c>
      <c r="L67" s="53">
        <v>0</v>
      </c>
      <c r="M67" s="53">
        <v>0</v>
      </c>
      <c r="N67" s="56">
        <v>0</v>
      </c>
    </row>
    <row r="68" spans="1:14" hidden="1" x14ac:dyDescent="0.25">
      <c r="A68" s="21"/>
      <c r="B68" s="4" t="s">
        <v>20</v>
      </c>
      <c r="C68" s="44">
        <v>21</v>
      </c>
      <c r="D68" s="53">
        <v>21</v>
      </c>
      <c r="E68" s="53"/>
      <c r="F68" s="88">
        <f t="shared" si="5"/>
        <v>1</v>
      </c>
      <c r="G68" s="53">
        <v>7</v>
      </c>
      <c r="H68" s="54">
        <v>0</v>
      </c>
      <c r="I68" s="53">
        <v>0</v>
      </c>
      <c r="J68" s="55">
        <v>0</v>
      </c>
      <c r="K68" s="53">
        <v>0</v>
      </c>
      <c r="L68" s="53">
        <v>0</v>
      </c>
      <c r="M68" s="53">
        <v>3</v>
      </c>
      <c r="N68" s="56">
        <v>0</v>
      </c>
    </row>
    <row r="69" spans="1:14" hidden="1" x14ac:dyDescent="0.25">
      <c r="A69" s="21"/>
      <c r="B69" s="4" t="s">
        <v>22</v>
      </c>
      <c r="C69" s="44">
        <v>17</v>
      </c>
      <c r="D69" s="53">
        <v>16</v>
      </c>
      <c r="E69" s="53"/>
      <c r="F69" s="88">
        <f t="shared" si="5"/>
        <v>0.94117647058823528</v>
      </c>
      <c r="G69" s="53">
        <v>11</v>
      </c>
      <c r="H69" s="54">
        <v>0</v>
      </c>
      <c r="I69" s="53">
        <v>0</v>
      </c>
      <c r="J69" s="55">
        <v>0</v>
      </c>
      <c r="K69" s="53">
        <v>0</v>
      </c>
      <c r="L69" s="53">
        <v>0</v>
      </c>
      <c r="M69" s="53">
        <v>2</v>
      </c>
      <c r="N69" s="56">
        <v>0</v>
      </c>
    </row>
    <row r="70" spans="1:14" hidden="1" x14ac:dyDescent="0.25">
      <c r="A70" s="49"/>
      <c r="B70" s="4" t="s">
        <v>23</v>
      </c>
      <c r="C70" s="44">
        <v>12</v>
      </c>
      <c r="D70" s="53">
        <v>12</v>
      </c>
      <c r="E70" s="53"/>
      <c r="F70" s="88">
        <f t="shared" si="5"/>
        <v>1</v>
      </c>
      <c r="G70" s="53">
        <v>4</v>
      </c>
      <c r="H70" s="54">
        <v>5</v>
      </c>
      <c r="I70" s="53">
        <v>0</v>
      </c>
      <c r="J70" s="55">
        <v>0</v>
      </c>
      <c r="K70" s="53">
        <v>0</v>
      </c>
      <c r="L70" s="53">
        <v>0</v>
      </c>
      <c r="M70" s="53">
        <v>0</v>
      </c>
      <c r="N70" s="56">
        <v>0</v>
      </c>
    </row>
    <row r="71" spans="1:14" hidden="1" x14ac:dyDescent="0.25">
      <c r="A71" s="50"/>
      <c r="B71" s="4" t="s">
        <v>24</v>
      </c>
      <c r="C71" s="44">
        <v>5</v>
      </c>
      <c r="D71" s="53">
        <v>3</v>
      </c>
      <c r="E71" s="53"/>
      <c r="F71" s="88">
        <f t="shared" si="5"/>
        <v>0.6</v>
      </c>
      <c r="G71" s="53">
        <v>0</v>
      </c>
      <c r="H71" s="54">
        <v>0</v>
      </c>
      <c r="I71" s="53">
        <v>0</v>
      </c>
      <c r="J71" s="55">
        <v>0</v>
      </c>
      <c r="K71" s="53">
        <v>0</v>
      </c>
      <c r="L71" s="53">
        <v>0</v>
      </c>
      <c r="M71" s="53">
        <v>0</v>
      </c>
      <c r="N71" s="56">
        <v>0</v>
      </c>
    </row>
    <row r="72" spans="1:14" hidden="1" x14ac:dyDescent="0.25">
      <c r="A72" s="21"/>
      <c r="B72" s="4" t="s">
        <v>25</v>
      </c>
      <c r="C72" s="44">
        <v>2</v>
      </c>
      <c r="D72" s="53">
        <v>1</v>
      </c>
      <c r="E72" s="53"/>
      <c r="F72" s="88">
        <f t="shared" si="5"/>
        <v>0.5</v>
      </c>
      <c r="G72" s="53">
        <v>0</v>
      </c>
      <c r="H72" s="54">
        <v>0</v>
      </c>
      <c r="I72" s="53">
        <v>0</v>
      </c>
      <c r="J72" s="55">
        <v>0</v>
      </c>
      <c r="K72" s="53">
        <v>0</v>
      </c>
      <c r="L72" s="53">
        <v>0</v>
      </c>
      <c r="M72" s="53">
        <v>0</v>
      </c>
      <c r="N72" s="56">
        <v>0</v>
      </c>
    </row>
    <row r="73" spans="1:14" hidden="1" x14ac:dyDescent="0.25">
      <c r="A73" s="21"/>
      <c r="B73" s="3" t="s">
        <v>39</v>
      </c>
      <c r="C73" s="44">
        <v>19</v>
      </c>
      <c r="D73" s="53">
        <v>17</v>
      </c>
      <c r="E73" s="53"/>
      <c r="F73" s="88">
        <f t="shared" si="5"/>
        <v>0.89473684210526316</v>
      </c>
      <c r="G73" s="53">
        <v>5</v>
      </c>
      <c r="H73" s="54">
        <v>0</v>
      </c>
      <c r="I73" s="53">
        <v>0</v>
      </c>
      <c r="J73" s="55">
        <v>0</v>
      </c>
      <c r="K73" s="53">
        <v>0</v>
      </c>
      <c r="L73" s="53">
        <v>0</v>
      </c>
      <c r="M73" s="53">
        <v>0</v>
      </c>
      <c r="N73" s="56">
        <v>0</v>
      </c>
    </row>
    <row r="74" spans="1:14" hidden="1" x14ac:dyDescent="0.25">
      <c r="A74" s="21"/>
      <c r="B74" s="4" t="s">
        <v>27</v>
      </c>
      <c r="C74" s="44">
        <v>33</v>
      </c>
      <c r="D74" s="53">
        <v>32</v>
      </c>
      <c r="E74" s="53"/>
      <c r="F74" s="88">
        <f t="shared" si="5"/>
        <v>0.96969696969696972</v>
      </c>
      <c r="G74" s="53">
        <v>0</v>
      </c>
      <c r="H74" s="54">
        <v>0</v>
      </c>
      <c r="I74" s="53">
        <v>0</v>
      </c>
      <c r="J74" s="55">
        <v>0</v>
      </c>
      <c r="K74" s="53">
        <v>0</v>
      </c>
      <c r="L74" s="53">
        <v>0</v>
      </c>
      <c r="M74" s="53">
        <v>0</v>
      </c>
      <c r="N74" s="56">
        <v>0</v>
      </c>
    </row>
    <row r="75" spans="1:14" hidden="1" x14ac:dyDescent="0.25">
      <c r="A75" s="49"/>
      <c r="B75" s="7" t="s">
        <v>28</v>
      </c>
      <c r="C75" s="44">
        <v>83</v>
      </c>
      <c r="D75" s="53">
        <v>78</v>
      </c>
      <c r="E75" s="53"/>
      <c r="F75" s="88">
        <f t="shared" si="5"/>
        <v>0.93975903614457834</v>
      </c>
      <c r="G75" s="53">
        <v>0</v>
      </c>
      <c r="H75" s="54">
        <v>0</v>
      </c>
      <c r="I75" s="53">
        <v>0</v>
      </c>
      <c r="J75" s="55">
        <v>0</v>
      </c>
      <c r="K75" s="53">
        <v>0</v>
      </c>
      <c r="L75" s="53">
        <v>0</v>
      </c>
      <c r="M75" s="53">
        <v>0</v>
      </c>
      <c r="N75" s="56">
        <v>0</v>
      </c>
    </row>
    <row r="76" spans="1:14" hidden="1" x14ac:dyDescent="0.25">
      <c r="A76" s="50"/>
      <c r="B76" s="4" t="s">
        <v>29</v>
      </c>
      <c r="C76" s="44">
        <v>32</v>
      </c>
      <c r="D76" s="53">
        <v>29</v>
      </c>
      <c r="E76" s="53"/>
      <c r="F76" s="88">
        <f t="shared" si="5"/>
        <v>0.90625</v>
      </c>
      <c r="G76" s="53">
        <v>8</v>
      </c>
      <c r="H76" s="54">
        <v>1</v>
      </c>
      <c r="I76" s="53">
        <v>0</v>
      </c>
      <c r="J76" s="55">
        <v>6</v>
      </c>
      <c r="K76" s="53">
        <v>0</v>
      </c>
      <c r="L76" s="53">
        <v>0</v>
      </c>
      <c r="M76" s="53">
        <v>2</v>
      </c>
      <c r="N76" s="56">
        <v>0</v>
      </c>
    </row>
    <row r="77" spans="1:14" ht="31.5" hidden="1" x14ac:dyDescent="0.25">
      <c r="A77" s="21"/>
      <c r="B77" s="5" t="s">
        <v>30</v>
      </c>
      <c r="C77" s="44">
        <v>87</v>
      </c>
      <c r="D77" s="53">
        <v>83</v>
      </c>
      <c r="E77" s="53"/>
      <c r="F77" s="88">
        <f t="shared" si="5"/>
        <v>0.95402298850574707</v>
      </c>
      <c r="G77" s="53">
        <v>48</v>
      </c>
      <c r="H77" s="54">
        <v>31</v>
      </c>
      <c r="I77" s="53">
        <v>0</v>
      </c>
      <c r="J77" s="55">
        <v>0</v>
      </c>
      <c r="K77" s="53">
        <v>0</v>
      </c>
      <c r="L77" s="53">
        <v>0</v>
      </c>
      <c r="M77" s="53">
        <v>0</v>
      </c>
      <c r="N77" s="56">
        <v>0</v>
      </c>
    </row>
    <row r="78" spans="1:14" hidden="1" x14ac:dyDescent="0.25">
      <c r="A78" s="21"/>
      <c r="B78" s="5" t="s">
        <v>31</v>
      </c>
      <c r="C78" s="44">
        <v>123</v>
      </c>
      <c r="D78" s="53">
        <v>110</v>
      </c>
      <c r="E78" s="53"/>
      <c r="F78" s="88">
        <f t="shared" si="5"/>
        <v>0.89430894308943087</v>
      </c>
      <c r="G78" s="53">
        <v>42</v>
      </c>
      <c r="H78" s="54">
        <v>0</v>
      </c>
      <c r="I78" s="53">
        <v>0</v>
      </c>
      <c r="J78" s="55">
        <v>3</v>
      </c>
      <c r="K78" s="53">
        <v>0</v>
      </c>
      <c r="L78" s="53">
        <v>0</v>
      </c>
      <c r="M78" s="53">
        <v>15</v>
      </c>
      <c r="N78" s="56">
        <v>0</v>
      </c>
    </row>
    <row r="79" spans="1:14" hidden="1" x14ac:dyDescent="0.25">
      <c r="A79" s="21"/>
      <c r="B79" s="5" t="s">
        <v>32</v>
      </c>
      <c r="C79" s="44">
        <v>21</v>
      </c>
      <c r="D79" s="53">
        <v>17</v>
      </c>
      <c r="E79" s="53"/>
      <c r="F79" s="88">
        <f t="shared" si="5"/>
        <v>0.80952380952380953</v>
      </c>
      <c r="G79" s="53">
        <v>3</v>
      </c>
      <c r="H79" s="54">
        <v>0</v>
      </c>
      <c r="I79" s="53">
        <v>0</v>
      </c>
      <c r="J79" s="55">
        <v>0</v>
      </c>
      <c r="K79" s="53">
        <v>0</v>
      </c>
      <c r="L79" s="53">
        <v>0</v>
      </c>
      <c r="M79" s="53">
        <v>0</v>
      </c>
      <c r="N79" s="56">
        <v>0</v>
      </c>
    </row>
    <row r="80" spans="1:14" ht="16.5" hidden="1" thickBot="1" x14ac:dyDescent="0.3">
      <c r="A80" s="26" t="s">
        <v>33</v>
      </c>
      <c r="B80" s="51"/>
      <c r="C80" s="45">
        <f>SUM(C62:C79)</f>
        <v>992</v>
      </c>
      <c r="D80" s="57">
        <f>SUM(D62:D79)</f>
        <v>915</v>
      </c>
      <c r="E80" s="57"/>
      <c r="F80" s="89">
        <f>D80/C80</f>
        <v>0.9223790322580645</v>
      </c>
      <c r="G80" s="57">
        <f>SUM(G62:G79)</f>
        <v>235</v>
      </c>
      <c r="H80" s="57">
        <f>SUM(H62:H79)</f>
        <v>85</v>
      </c>
      <c r="I80" s="58">
        <v>0</v>
      </c>
      <c r="J80" s="57">
        <f>SUM(J62:J79)</f>
        <v>52</v>
      </c>
      <c r="K80" s="57">
        <v>0</v>
      </c>
      <c r="L80" s="57">
        <v>0</v>
      </c>
      <c r="M80" s="57">
        <f>SUM(M62:M79)</f>
        <v>87</v>
      </c>
      <c r="N80" s="59">
        <v>0</v>
      </c>
    </row>
    <row r="81" spans="1:14" ht="16.5" thickTop="1" x14ac:dyDescent="0.25">
      <c r="A81" s="19" t="s">
        <v>40</v>
      </c>
      <c r="B81" s="8" t="s">
        <v>14</v>
      </c>
      <c r="C81" s="124">
        <f>COUNTIFS([1]Аркуш2!$I:$I,"Оф.",[1]Аркуш2!$B:$B,"ж")+COUNTIFS([1]Аркуш2!$I:$I,"серж.",[1]Аркуш2!$B:$B,"ж")</f>
        <v>7</v>
      </c>
      <c r="D81" s="124">
        <f>COUNTIFS([1]Аркуш2!$I:$I,"Оф.",[1]Аркуш2!$B:$B,"ж",[1]Аркуш2!$M:$M,"&lt;&gt;")+COUNTIFS([1]Аркуш2!$I:$I,"серж.",[1]Аркуш2!$B:$B,"ж",[1]Аркуш2!$M:$M,"&lt;&gt;")</f>
        <v>5</v>
      </c>
      <c r="E81" s="124">
        <f>COUNTIFS([1]Аркуш2!$I:$I,"Оф.",[1]Аркуш2!$B:$B,"ж",[1]Аркуш2!$U:$U,"в строю")+COUNTIFS([1]Аркуш2!$I:$I,"серж.",[1]Аркуш2!$B:$B,"ж",[1]Аркуш2!$U:$U,"в строю")</f>
        <v>5</v>
      </c>
      <c r="F81" s="104">
        <f>D81/C81</f>
        <v>0.7142857142857143</v>
      </c>
      <c r="G81" s="103">
        <v>0</v>
      </c>
      <c r="H81" s="103">
        <v>0</v>
      </c>
      <c r="I81" s="103">
        <v>0</v>
      </c>
      <c r="J81" s="103">
        <v>0</v>
      </c>
      <c r="K81" s="103">
        <v>0</v>
      </c>
      <c r="L81" s="103">
        <v>0</v>
      </c>
      <c r="M81" s="103">
        <v>0</v>
      </c>
      <c r="N81" s="105">
        <v>0</v>
      </c>
    </row>
    <row r="82" spans="1:14" x14ac:dyDescent="0.25">
      <c r="A82" s="21"/>
      <c r="B82" s="9" t="s">
        <v>15</v>
      </c>
      <c r="C82" s="125">
        <f>COUNTIFS([1]Аркуш2!$I:$I,"Оф.",[1]Аркуш2!$B:$B,"штаб")+COUNTIFS([1]Аркуш2!$I:$I,"серж.",[1]Аркуш2!$B:$B,"штаб")</f>
        <v>20</v>
      </c>
      <c r="D82" s="125">
        <f>COUNTIFS([1]Аркуш2!$I:$I,"Оф.",[1]Аркуш2!$B:$B,"Штаб",[1]Аркуш2!$M:$M,"&lt;&gt;")+COUNTIFS([1]Аркуш2!$I:$I,"серж.",[1]Аркуш2!$B:$B,"Штаб",[1]Аркуш2!$M:$M,"&lt;&gt;")</f>
        <v>8</v>
      </c>
      <c r="E82" s="125">
        <f>COUNTIFS([1]Аркуш2!$I:$I,"Оф.",[1]Аркуш2!$B:$B,"Штаб",[1]Аркуш2!$U:$U,"в строю")+COUNTIFS([1]Аркуш2!$I:$I,"серж.",[1]Аркуш2!$B:$B,"Штаб",[1]Аркуш2!$U:$U,"в строю")</f>
        <v>5</v>
      </c>
      <c r="F82" s="106">
        <f t="shared" ref="F82:F98" si="6">D82/C82</f>
        <v>0.4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107">
        <v>0</v>
      </c>
    </row>
    <row r="83" spans="1:14" x14ac:dyDescent="0.25">
      <c r="A83" s="21"/>
      <c r="B83" s="5" t="s">
        <v>41</v>
      </c>
      <c r="C83" s="77">
        <f>[1]Аркуш1!$F$13</f>
        <v>113</v>
      </c>
      <c r="D83" s="72">
        <f>[1]Аркуш1!$J$13</f>
        <v>84</v>
      </c>
      <c r="E83" s="72">
        <f>[1]Аркуш1!$BL$13</f>
        <v>50</v>
      </c>
      <c r="F83" s="106">
        <f t="shared" si="6"/>
        <v>0.74336283185840712</v>
      </c>
      <c r="G83" s="72">
        <f>COUNTIFS([1]Аркуш2!$B:$B,"*1 піхотна рота*",[1]Аркуш2!$U:$U,"*в строю*",[1]Аркуш2!$AE:$AE,"на виконанні")</f>
        <v>16</v>
      </c>
      <c r="H83" s="72">
        <v>0</v>
      </c>
      <c r="I83" s="72">
        <v>0</v>
      </c>
      <c r="J83" s="72">
        <v>6</v>
      </c>
      <c r="K83" s="72">
        <v>0</v>
      </c>
      <c r="L83" s="72">
        <v>0</v>
      </c>
      <c r="M83" s="72">
        <v>0</v>
      </c>
      <c r="N83" s="107">
        <v>0</v>
      </c>
    </row>
    <row r="84" spans="1:14" x14ac:dyDescent="0.25">
      <c r="A84" s="21"/>
      <c r="B84" s="5" t="s">
        <v>42</v>
      </c>
      <c r="C84" s="77">
        <f>[1]Аркуш1!$F$14</f>
        <v>113</v>
      </c>
      <c r="D84" s="72">
        <f>[1]Аркуш1!$J$14</f>
        <v>97</v>
      </c>
      <c r="E84" s="72">
        <f>[1]Аркуш1!$BL$14</f>
        <v>50</v>
      </c>
      <c r="F84" s="106">
        <f t="shared" si="6"/>
        <v>0.8584070796460177</v>
      </c>
      <c r="G84" s="72">
        <f>COUNTIFS([1]Аркуш2!$B:$B,"*2 піхотна рота*",[1]Аркуш2!$U:$U,"*в строю*",[1]Аркуш2!$AE:$AE,"на виконанні")</f>
        <v>13</v>
      </c>
      <c r="H84" s="72">
        <v>0</v>
      </c>
      <c r="I84" s="72">
        <v>0</v>
      </c>
      <c r="J84" s="72">
        <v>1</v>
      </c>
      <c r="K84" s="72">
        <v>0</v>
      </c>
      <c r="L84" s="72">
        <v>0</v>
      </c>
      <c r="M84" s="72">
        <v>0</v>
      </c>
      <c r="N84" s="107">
        <v>0</v>
      </c>
    </row>
    <row r="85" spans="1:14" x14ac:dyDescent="0.25">
      <c r="A85" s="49"/>
      <c r="B85" s="5" t="s">
        <v>43</v>
      </c>
      <c r="C85" s="77">
        <f>[1]Аркуш1!$F$15</f>
        <v>113</v>
      </c>
      <c r="D85" s="72">
        <f>[1]Аркуш1!$J$15</f>
        <v>97</v>
      </c>
      <c r="E85" s="72">
        <f>[1]Аркуш1!$BL$15</f>
        <v>55</v>
      </c>
      <c r="F85" s="106">
        <f t="shared" si="6"/>
        <v>0.8584070796460177</v>
      </c>
      <c r="G85" s="72">
        <f>COUNTIFS([1]Аркуш2!$B:$B,"*3 піхотна рота*",[1]Аркуш2!$U:$U,"*в строю*",[1]Аркуш2!$AE:$AE,"на виконанні")</f>
        <v>11</v>
      </c>
      <c r="H85" s="72">
        <v>0</v>
      </c>
      <c r="I85" s="72">
        <v>0</v>
      </c>
      <c r="J85" s="72">
        <v>4</v>
      </c>
      <c r="K85" s="72">
        <v>0</v>
      </c>
      <c r="L85" s="72">
        <v>0</v>
      </c>
      <c r="M85" s="72">
        <v>0</v>
      </c>
      <c r="N85" s="107">
        <v>0</v>
      </c>
    </row>
    <row r="86" spans="1:14" x14ac:dyDescent="0.25">
      <c r="A86" s="50"/>
      <c r="B86" s="5" t="s">
        <v>19</v>
      </c>
      <c r="C86" s="77">
        <f>[1]Аркуш1!$F$26</f>
        <v>20</v>
      </c>
      <c r="D86" s="72">
        <f>[1]Аркуш1!$J$26</f>
        <v>19</v>
      </c>
      <c r="E86" s="72">
        <f>[1]Аркуш1!$BL$26</f>
        <v>15</v>
      </c>
      <c r="F86" s="106">
        <f t="shared" si="6"/>
        <v>0.95</v>
      </c>
      <c r="G86" s="72">
        <f>COUNTIFS([1]Аркуш2!$B:$B,"*Взвод зв'язку*",[1]Аркуш2!$U:$U,"*в строю*",[1]Аркуш2!$AE:$AE,"на виконанні")</f>
        <v>5</v>
      </c>
      <c r="H86" s="72">
        <v>0</v>
      </c>
      <c r="I86" s="72">
        <v>0</v>
      </c>
      <c r="J86" s="72">
        <v>1</v>
      </c>
      <c r="K86" s="72">
        <v>0</v>
      </c>
      <c r="L86" s="72">
        <v>0</v>
      </c>
      <c r="M86" s="72">
        <v>0</v>
      </c>
      <c r="N86" s="107">
        <v>0</v>
      </c>
    </row>
    <row r="87" spans="1:14" ht="47.25" x14ac:dyDescent="0.25">
      <c r="A87" s="21"/>
      <c r="B87" s="5" t="s">
        <v>44</v>
      </c>
      <c r="C87" s="77">
        <f>[1]Аркуш1!$F$21</f>
        <v>32</v>
      </c>
      <c r="D87" s="72">
        <f>[1]Аркуш1!$J$21</f>
        <v>30</v>
      </c>
      <c r="E87" s="72">
        <f>[1]Аркуш1!$BL$21</f>
        <v>19</v>
      </c>
      <c r="F87" s="106">
        <f t="shared" si="6"/>
        <v>0.9375</v>
      </c>
      <c r="G87" s="72">
        <f>COUNTIFS([1]Аркуш2!$B:$B,"*Взвод логістично-евакуаційних безпілотних наземних систем*",[1]Аркуш2!$U:$U,"*в строю*",[1]Аркуш2!$AE:$AE,"на виконанні")</f>
        <v>3</v>
      </c>
      <c r="H87" s="72">
        <v>0</v>
      </c>
      <c r="I87" s="72">
        <v>0</v>
      </c>
      <c r="J87" s="72">
        <v>1</v>
      </c>
      <c r="K87" s="72">
        <v>0</v>
      </c>
      <c r="L87" s="72">
        <v>0</v>
      </c>
      <c r="M87" s="72">
        <v>0</v>
      </c>
      <c r="N87" s="107">
        <v>0</v>
      </c>
    </row>
    <row r="88" spans="1:14" x14ac:dyDescent="0.25">
      <c r="A88" s="21"/>
      <c r="B88" s="5" t="s">
        <v>45</v>
      </c>
      <c r="C88" s="77">
        <f>[1]Аркуш1!$F$27</f>
        <v>28</v>
      </c>
      <c r="D88" s="72">
        <f>[1]Аркуш1!$J$27</f>
        <v>25</v>
      </c>
      <c r="E88" s="72">
        <f>[1]Аркуш1!$BL$27</f>
        <v>22</v>
      </c>
      <c r="F88" s="106">
        <f t="shared" si="6"/>
        <v>0.8928571428571429</v>
      </c>
      <c r="G88" s="72">
        <f>COUNTIFS([1]Аркуш2!$B:$B,"*Взвод матеріально-технічного забезпечення*",[1]Аркуш2!$U:$U,"*в строю*",[1]Аркуш2!$AE:$AE,"на виконанні")</f>
        <v>4</v>
      </c>
      <c r="H88" s="72">
        <v>0</v>
      </c>
      <c r="I88" s="72">
        <v>0</v>
      </c>
      <c r="J88" s="72">
        <v>1</v>
      </c>
      <c r="K88" s="72">
        <v>0</v>
      </c>
      <c r="L88" s="72">
        <v>0</v>
      </c>
      <c r="M88" s="72">
        <v>0</v>
      </c>
      <c r="N88" s="107">
        <v>0</v>
      </c>
    </row>
    <row r="89" spans="1:14" ht="47.25" x14ac:dyDescent="0.25">
      <c r="A89" s="21"/>
      <c r="B89" s="5" t="s">
        <v>46</v>
      </c>
      <c r="C89" s="77">
        <f>[1]Аркуш1!$F$22</f>
        <v>24</v>
      </c>
      <c r="D89" s="72">
        <f>[1]Аркуш1!$J$22</f>
        <v>23</v>
      </c>
      <c r="E89" s="72">
        <f>[1]Аркуш1!$BL$22</f>
        <v>13</v>
      </c>
      <c r="F89" s="106">
        <f t="shared" si="6"/>
        <v>0.95833333333333337</v>
      </c>
      <c r="G89" s="72">
        <f>COUNTIFS([1]Аркуш2!$B:$B,"*Взвод перехоплювачів безпілотних літальних апаратів*",[1]Аркуш2!$U:$U,"*в строю*",[1]Аркуш2!$AE:$AE,"на виконанні")</f>
        <v>1</v>
      </c>
      <c r="H89" s="72">
        <v>0</v>
      </c>
      <c r="I89" s="72">
        <v>0</v>
      </c>
      <c r="J89" s="72">
        <v>0</v>
      </c>
      <c r="K89" s="72">
        <v>0</v>
      </c>
      <c r="L89" s="72">
        <v>0</v>
      </c>
      <c r="M89" s="72">
        <v>0</v>
      </c>
      <c r="N89" s="107">
        <v>0</v>
      </c>
    </row>
    <row r="90" spans="1:14" ht="31.5" x14ac:dyDescent="0.25">
      <c r="A90" s="21"/>
      <c r="B90" s="5" t="s">
        <v>36</v>
      </c>
      <c r="C90" s="77">
        <f>[1]Аркуш1!$F$20</f>
        <v>20</v>
      </c>
      <c r="D90" s="72">
        <f>[1]Аркуш1!$J$20</f>
        <v>19</v>
      </c>
      <c r="E90" s="72">
        <f>[1]Аркуш1!$BL$20</f>
        <v>13</v>
      </c>
      <c r="F90" s="106">
        <f t="shared" si="6"/>
        <v>0.95</v>
      </c>
      <c r="G90" s="72">
        <f>COUNTIFS([1]Аркуш2!$B:$B,"*Взвод протитанкових ракетних комплексів*",[1]Аркуш2!$U:$U,"*в строю*",[1]Аркуш2!$AE:$AE,"на виконанні")</f>
        <v>2</v>
      </c>
      <c r="H90" s="72">
        <v>0</v>
      </c>
      <c r="I90" s="72">
        <v>0</v>
      </c>
      <c r="J90" s="72">
        <v>0</v>
      </c>
      <c r="K90" s="72">
        <v>0</v>
      </c>
      <c r="L90" s="72">
        <v>0</v>
      </c>
      <c r="M90" s="72">
        <v>0</v>
      </c>
      <c r="N90" s="107">
        <v>0</v>
      </c>
    </row>
    <row r="91" spans="1:14" x14ac:dyDescent="0.25">
      <c r="A91" s="49"/>
      <c r="B91" s="5" t="s">
        <v>23</v>
      </c>
      <c r="C91" s="77">
        <f>[1]Аркуш1!$F$25</f>
        <v>12</v>
      </c>
      <c r="D91" s="72">
        <f>[1]Аркуш1!$J$25</f>
        <v>12</v>
      </c>
      <c r="E91" s="125">
        <f>COUNTIFS([1]Аркуш2!$I:$I,"Оф.",[1]Аркуш2!$B:$B,"Відділення радіоелектронної боротьби",[1]Аркуш2!$U:$U,"в строю")+COUNTIFS([1]Аркуш2!$I:$I,"серж.",[1]Аркуш2!$B:$B,"Відділення радіоелектронної боротьби",[1]Аркуш2!$U:$U,"в строю")+COUNTIFS([1]Аркуш2!$I:$I,"солд.",[1]Аркуш2!$B:$B,"Відділення радіоелектронної боротьби",[1]Аркуш2!$U:$U,"в строю")</f>
        <v>6</v>
      </c>
      <c r="F91" s="106">
        <f t="shared" si="6"/>
        <v>1</v>
      </c>
      <c r="G91" s="72">
        <f>COUNTIFS([1]Аркуш2!$B:$B,"*Відділення радіоелектронної боротьби*",[1]Аркуш2!$U:$U,"*в строю*",[1]Аркуш2!$AE:$AE,"на виконанні")</f>
        <v>1</v>
      </c>
      <c r="H91" s="72">
        <v>0</v>
      </c>
      <c r="I91" s="72">
        <v>0</v>
      </c>
      <c r="J91" s="72">
        <v>0</v>
      </c>
      <c r="K91" s="72">
        <v>0</v>
      </c>
      <c r="L91" s="72">
        <v>0</v>
      </c>
      <c r="M91" s="72">
        <v>0</v>
      </c>
      <c r="N91" s="107">
        <v>0</v>
      </c>
    </row>
    <row r="92" spans="1:14" x14ac:dyDescent="0.25">
      <c r="A92" s="50"/>
      <c r="B92" s="5" t="s">
        <v>47</v>
      </c>
      <c r="C92" s="77">
        <f>[1]Аркуш1!$F$17</f>
        <v>22</v>
      </c>
      <c r="D92" s="72">
        <f>[1]Аркуш1!$J$17</f>
        <v>21</v>
      </c>
      <c r="E92" s="72">
        <f>[1]Аркуш1!$BL$17</f>
        <v>15</v>
      </c>
      <c r="F92" s="106">
        <f t="shared" si="6"/>
        <v>0.95454545454545459</v>
      </c>
      <c r="G92" s="72">
        <f>COUNTIFS([1]Аркуш2!$B:$B,"*Гранатометний взвод*",[1]Аркуш2!$U:$U,"*в строю*",[1]Аркуш2!$AE:$AE,"на виконанні")</f>
        <v>3</v>
      </c>
      <c r="H92" s="72">
        <v>0</v>
      </c>
      <c r="I92" s="72">
        <v>0</v>
      </c>
      <c r="J92" s="72">
        <v>0</v>
      </c>
      <c r="K92" s="72">
        <v>0</v>
      </c>
      <c r="L92" s="72">
        <v>0</v>
      </c>
      <c r="M92" s="72">
        <v>0</v>
      </c>
      <c r="N92" s="107">
        <v>0</v>
      </c>
    </row>
    <row r="93" spans="1:14" x14ac:dyDescent="0.25">
      <c r="A93" s="21"/>
      <c r="B93" s="5" t="s">
        <v>24</v>
      </c>
      <c r="C93" s="125">
        <f>COUNTIFS([1]Аркуш2!$I:$I,"Оф.",[1]Аркуш2!$B:$B,"Група безпілотних систем")+COUNTIFS([1]Аркуш2!$I:$I,"серж.",[1]Аркуш2!$B:$B,"Група безпілотних систем")</f>
        <v>5</v>
      </c>
      <c r="D93" s="125">
        <f>COUNTIFS([1]Аркуш2!$I:$I,"Оф.",[1]Аркуш2!$B:$B,"Група безпілотних систем",[1]Аркуш2!$M:$M,"&lt;&gt;")+COUNTIFS([1]Аркуш2!$I:$I,"серж.",[1]Аркуш2!$B:$B,"Група безпілотних систем",[1]Аркуш2!$M:$M,"&lt;&gt;")</f>
        <v>1</v>
      </c>
      <c r="E93" s="125">
        <f>COUNTIFS([1]Аркуш2!$I:$I,"Оф.",[1]Аркуш2!$B:$B,"Група безпілотних систем",[1]Аркуш2!$U:$U,"в строю")+COUNTIFS([1]Аркуш2!$I:$I,"серж.",[1]Аркуш2!$B:$B,"Група безпілотних систем",[1]Аркуш2!$U:$U,"в строю")</f>
        <v>0</v>
      </c>
      <c r="F93" s="106">
        <f t="shared" si="6"/>
        <v>0.2</v>
      </c>
      <c r="G93" s="72">
        <v>0</v>
      </c>
      <c r="H93" s="72">
        <v>0</v>
      </c>
      <c r="I93" s="72">
        <v>0</v>
      </c>
      <c r="J93" s="72">
        <v>0</v>
      </c>
      <c r="K93" s="72">
        <v>0</v>
      </c>
      <c r="L93" s="72">
        <v>0</v>
      </c>
      <c r="M93" s="72">
        <v>0</v>
      </c>
      <c r="N93" s="107">
        <v>0</v>
      </c>
    </row>
    <row r="94" spans="1:14" x14ac:dyDescent="0.25">
      <c r="A94" s="21"/>
      <c r="B94" s="5" t="s">
        <v>39</v>
      </c>
      <c r="C94" s="77">
        <v>0</v>
      </c>
      <c r="D94" s="72">
        <v>0</v>
      </c>
      <c r="E94" s="72">
        <v>0</v>
      </c>
      <c r="F94" s="106">
        <v>0</v>
      </c>
      <c r="G94" s="72">
        <v>0</v>
      </c>
      <c r="H94" s="72">
        <v>0</v>
      </c>
      <c r="I94" s="72">
        <v>0</v>
      </c>
      <c r="J94" s="72">
        <v>0</v>
      </c>
      <c r="K94" s="72">
        <v>0</v>
      </c>
      <c r="L94" s="72">
        <v>0</v>
      </c>
      <c r="M94" s="72">
        <v>0</v>
      </c>
      <c r="N94" s="107">
        <v>0</v>
      </c>
    </row>
    <row r="95" spans="1:14" x14ac:dyDescent="0.25">
      <c r="A95" s="49"/>
      <c r="B95" s="10" t="s">
        <v>27</v>
      </c>
      <c r="C95" s="77">
        <f>[1]Аркуш1!$F$24</f>
        <v>7</v>
      </c>
      <c r="D95" s="72">
        <f>[1]Аркуш1!$J$24</f>
        <v>7</v>
      </c>
      <c r="E95" s="125">
        <f>COUNTIFS([1]Аркуш2!$I:$I,"Оф.",[1]Аркуш2!$B:$B,"Інженерно-саперне відділення",[1]Аркуш2!$U:$U,"в строю")+COUNTIFS([1]Аркуш2!$I:$I,"серж.",[1]Аркуш2!$B:$B,"Інженерно-саперне відділення",[1]Аркуш2!$U:$U,"в строю")+COUNTIFS([1]Аркуш2!$I:$I,"солд.",[1]Аркуш2!$B:$B,"Інженерно-саперне відділення",[1]Аркуш2!$U:$U,"в строю")</f>
        <v>5</v>
      </c>
      <c r="F95" s="106">
        <f t="shared" si="6"/>
        <v>1</v>
      </c>
      <c r="G95" s="72">
        <f>COUNTIFS([1]Аркуш2!$B:$B,"*Інженерно-саперне відділення*",[1]Аркуш2!$U:$U,"*в строю*",[1]Аркуш2!$AE:$AE,"на виконанні")</f>
        <v>2</v>
      </c>
      <c r="H95" s="72">
        <v>0</v>
      </c>
      <c r="I95" s="72">
        <v>0</v>
      </c>
      <c r="J95" s="72">
        <v>0</v>
      </c>
      <c r="K95" s="72">
        <v>0</v>
      </c>
      <c r="L95" s="72">
        <v>0</v>
      </c>
      <c r="M95" s="72">
        <v>0</v>
      </c>
      <c r="N95" s="107">
        <v>0</v>
      </c>
    </row>
    <row r="96" spans="1:14" x14ac:dyDescent="0.25">
      <c r="A96" s="50"/>
      <c r="B96" s="5" t="s">
        <v>48</v>
      </c>
      <c r="C96" s="77">
        <f>[1]Аркуш1!$F$19</f>
        <v>31</v>
      </c>
      <c r="D96" s="72">
        <f>[1]Аркуш1!$J$19</f>
        <v>27</v>
      </c>
      <c r="E96" s="72">
        <f>[1]Аркуш1!$BL$19</f>
        <v>19</v>
      </c>
      <c r="F96" s="106">
        <f t="shared" si="6"/>
        <v>0.87096774193548387</v>
      </c>
      <c r="G96" s="72">
        <f>COUNTIFS([1]Аркуш2!$B:$B,"*Кулеметний взвод*",[1]Аркуш2!$U:$U,"*в строю*",[1]Аркуш2!$AE:$AE,"на виконанні")</f>
        <v>6</v>
      </c>
      <c r="H96" s="72">
        <v>0</v>
      </c>
      <c r="I96" s="72">
        <v>0</v>
      </c>
      <c r="J96" s="72">
        <v>9</v>
      </c>
      <c r="K96" s="72">
        <v>0</v>
      </c>
      <c r="L96" s="72">
        <v>0</v>
      </c>
      <c r="M96" s="72">
        <v>0</v>
      </c>
      <c r="N96" s="107">
        <v>0</v>
      </c>
    </row>
    <row r="97" spans="1:14" x14ac:dyDescent="0.25">
      <c r="A97" s="21"/>
      <c r="B97" s="5" t="s">
        <v>49</v>
      </c>
      <c r="C97" s="77">
        <f>[1]Аркуш1!$F$18</f>
        <v>20</v>
      </c>
      <c r="D97" s="72">
        <f>[1]Аркуш1!$J$18</f>
        <v>17</v>
      </c>
      <c r="E97" s="72">
        <f>[1]Аркуш1!$BL$18</f>
        <v>10</v>
      </c>
      <c r="F97" s="106">
        <f t="shared" si="6"/>
        <v>0.85</v>
      </c>
      <c r="G97" s="72">
        <f>COUNTIFS([1]Аркуш2!$B:$B,"*Мінометний взвод*",[1]Аркуш2!$U:$U,"*в строю*",[1]Аркуш2!$AE:$AE,"на виконанні")</f>
        <v>1</v>
      </c>
      <c r="H97" s="72">
        <v>0</v>
      </c>
      <c r="I97" s="72">
        <v>0</v>
      </c>
      <c r="J97" s="72">
        <v>4</v>
      </c>
      <c r="K97" s="72">
        <v>0</v>
      </c>
      <c r="L97" s="72">
        <v>0</v>
      </c>
      <c r="M97" s="72">
        <v>0</v>
      </c>
      <c r="N97" s="107">
        <v>0</v>
      </c>
    </row>
    <row r="98" spans="1:14" x14ac:dyDescent="0.25">
      <c r="A98" s="21"/>
      <c r="B98" s="5" t="s">
        <v>29</v>
      </c>
      <c r="C98" s="77">
        <f>[1]Аркуш1!$F$23</f>
        <v>24</v>
      </c>
      <c r="D98" s="72">
        <f>[1]Аркуш1!$J$23</f>
        <v>22</v>
      </c>
      <c r="E98" s="72">
        <f>[1]Аркуш1!$BL$23</f>
        <v>14</v>
      </c>
      <c r="F98" s="106">
        <f t="shared" si="6"/>
        <v>0.91666666666666663</v>
      </c>
      <c r="G98" s="72">
        <f>COUNTIFS([1]Аркуш2!$B:$B,"*Розвідувальний взвод*",[1]Аркуш2!$U:$U,"*в строю*",[1]Аркуш2!$AE:$AE,"на виконанні")</f>
        <v>2</v>
      </c>
      <c r="H98" s="72">
        <v>0</v>
      </c>
      <c r="I98" s="72">
        <v>0</v>
      </c>
      <c r="J98" s="72">
        <v>1</v>
      </c>
      <c r="K98" s="72">
        <v>0</v>
      </c>
      <c r="L98" s="72">
        <v>0</v>
      </c>
      <c r="M98" s="72">
        <v>0</v>
      </c>
      <c r="N98" s="107">
        <v>0</v>
      </c>
    </row>
    <row r="99" spans="1:14" ht="31.5" x14ac:dyDescent="0.25">
      <c r="A99" s="21"/>
      <c r="B99" s="5" t="s">
        <v>30</v>
      </c>
      <c r="C99" s="77">
        <f>[1]Аркуш1!$F$16</f>
        <v>87</v>
      </c>
      <c r="D99" s="72">
        <f>[1]Аркуш1!$J$16</f>
        <v>74</v>
      </c>
      <c r="E99" s="72">
        <f>[1]Аркуш1!$BL$16</f>
        <v>59</v>
      </c>
      <c r="F99" s="106">
        <f>D99/C99</f>
        <v>0.85057471264367812</v>
      </c>
      <c r="G99" s="72">
        <f>COUNTIFS([1]Аркуш2!$B:$B,"*Рота безпілотних авіаційних комплексів*",[1]Аркуш2!$U:$U,"*в строю*",[1]Аркуш2!$AE:$AE,"на виконанні")</f>
        <v>21</v>
      </c>
      <c r="H99" s="72">
        <v>0</v>
      </c>
      <c r="I99" s="72">
        <v>0</v>
      </c>
      <c r="J99" s="72">
        <v>0</v>
      </c>
      <c r="K99" s="72">
        <v>0</v>
      </c>
      <c r="L99" s="72">
        <v>0</v>
      </c>
      <c r="M99" s="72">
        <v>0</v>
      </c>
      <c r="N99" s="107">
        <v>0</v>
      </c>
    </row>
    <row r="100" spans="1:14" x14ac:dyDescent="0.25">
      <c r="A100" s="21"/>
      <c r="B100" s="5" t="s">
        <v>32</v>
      </c>
      <c r="C100" s="77">
        <f>[1]Аркуш1!$F$28</f>
        <v>11</v>
      </c>
      <c r="D100" s="72">
        <f>[1]Аркуш1!$J$28</f>
        <v>11</v>
      </c>
      <c r="E100" s="72">
        <f>[1]Аркуш1!$BL$28</f>
        <v>10</v>
      </c>
      <c r="F100" s="106">
        <f>D100/C100</f>
        <v>1</v>
      </c>
      <c r="G100" s="72">
        <f>COUNTIFS([1]Аркуш2!$B:$B,"*Медичний пункт*",[1]Аркуш2!$U:$U,"*в строю*",[1]Аркуш2!$AE:$AE,"на виконанні")</f>
        <v>0</v>
      </c>
      <c r="H100" s="72">
        <v>0</v>
      </c>
      <c r="I100" s="72">
        <v>0</v>
      </c>
      <c r="J100" s="72">
        <v>0</v>
      </c>
      <c r="K100" s="72">
        <v>0</v>
      </c>
      <c r="L100" s="72">
        <v>0</v>
      </c>
      <c r="M100" s="72">
        <v>0</v>
      </c>
      <c r="N100" s="107">
        <v>0</v>
      </c>
    </row>
    <row r="101" spans="1:14" ht="16.5" thickBot="1" x14ac:dyDescent="0.3">
      <c r="A101" s="26" t="s">
        <v>33</v>
      </c>
      <c r="B101" s="73"/>
      <c r="C101" s="108">
        <f>SUM(C81:C100)</f>
        <v>709</v>
      </c>
      <c r="D101" s="109">
        <f>SUM(D81:D100)</f>
        <v>599</v>
      </c>
      <c r="E101" s="109">
        <f>SUM(E81:E100)</f>
        <v>385</v>
      </c>
      <c r="F101" s="110">
        <f>SUM(F81:F100)/19</f>
        <v>0.83715303986410072</v>
      </c>
      <c r="G101" s="109">
        <f t="shared" ref="G101:N101" si="7">SUM(G81:G100)</f>
        <v>91</v>
      </c>
      <c r="H101" s="109">
        <f t="shared" si="7"/>
        <v>0</v>
      </c>
      <c r="I101" s="109">
        <f t="shared" si="7"/>
        <v>0</v>
      </c>
      <c r="J101" s="109">
        <f t="shared" si="7"/>
        <v>28</v>
      </c>
      <c r="K101" s="109">
        <f t="shared" si="7"/>
        <v>0</v>
      </c>
      <c r="L101" s="109">
        <f t="shared" si="7"/>
        <v>0</v>
      </c>
      <c r="M101" s="109">
        <f t="shared" si="7"/>
        <v>0</v>
      </c>
      <c r="N101" s="111">
        <f t="shared" si="7"/>
        <v>0</v>
      </c>
    </row>
    <row r="102" spans="1:14" ht="16.5" thickTop="1" x14ac:dyDescent="0.25">
      <c r="A102" s="19" t="s">
        <v>50</v>
      </c>
      <c r="B102" s="8" t="s">
        <v>14</v>
      </c>
      <c r="C102" s="43">
        <v>7</v>
      </c>
      <c r="D102" s="70">
        <v>4</v>
      </c>
      <c r="E102" s="70"/>
      <c r="F102" s="87">
        <f>D102/C102</f>
        <v>0.5714285714285714</v>
      </c>
      <c r="G102" s="70">
        <v>0</v>
      </c>
      <c r="H102" s="70">
        <v>0</v>
      </c>
      <c r="I102" s="70">
        <v>0</v>
      </c>
      <c r="J102" s="70">
        <v>0</v>
      </c>
      <c r="K102" s="70">
        <v>0</v>
      </c>
      <c r="L102" s="70">
        <v>0</v>
      </c>
      <c r="M102" s="70">
        <v>0</v>
      </c>
      <c r="N102" s="71">
        <v>0</v>
      </c>
    </row>
    <row r="103" spans="1:14" x14ac:dyDescent="0.25">
      <c r="A103" s="21"/>
      <c r="B103" s="9" t="s">
        <v>15</v>
      </c>
      <c r="C103" s="44">
        <v>20</v>
      </c>
      <c r="D103" s="53">
        <v>12</v>
      </c>
      <c r="E103" s="53"/>
      <c r="F103" s="88">
        <f t="shared" ref="F103:F121" si="8">D103/C103</f>
        <v>0.6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6">
        <v>0</v>
      </c>
    </row>
    <row r="104" spans="1:14" x14ac:dyDescent="0.25">
      <c r="A104" s="21"/>
      <c r="B104" s="5" t="s">
        <v>41</v>
      </c>
      <c r="C104" s="44">
        <v>113</v>
      </c>
      <c r="D104" s="53">
        <v>106</v>
      </c>
      <c r="E104" s="53"/>
      <c r="F104" s="88">
        <f t="shared" si="8"/>
        <v>0.93805309734513276</v>
      </c>
      <c r="G104" s="53">
        <v>23</v>
      </c>
      <c r="H104" s="53">
        <v>12</v>
      </c>
      <c r="I104" s="53">
        <v>2</v>
      </c>
      <c r="J104" s="53">
        <v>6</v>
      </c>
      <c r="K104" s="53">
        <v>0</v>
      </c>
      <c r="L104" s="53">
        <v>0</v>
      </c>
      <c r="M104" s="53">
        <v>0</v>
      </c>
      <c r="N104" s="56">
        <v>10</v>
      </c>
    </row>
    <row r="105" spans="1:14" x14ac:dyDescent="0.25">
      <c r="A105" s="21"/>
      <c r="B105" s="5" t="s">
        <v>42</v>
      </c>
      <c r="C105" s="44">
        <v>113</v>
      </c>
      <c r="D105" s="53">
        <v>102</v>
      </c>
      <c r="E105" s="53"/>
      <c r="F105" s="88">
        <f t="shared" si="8"/>
        <v>0.90265486725663713</v>
      </c>
      <c r="G105" s="53">
        <v>10</v>
      </c>
      <c r="H105" s="53">
        <v>5</v>
      </c>
      <c r="I105" s="53">
        <v>0</v>
      </c>
      <c r="J105" s="53">
        <v>6</v>
      </c>
      <c r="K105" s="53">
        <v>0</v>
      </c>
      <c r="L105" s="53">
        <v>0</v>
      </c>
      <c r="M105" s="53">
        <v>0</v>
      </c>
      <c r="N105" s="56">
        <v>9</v>
      </c>
    </row>
    <row r="106" spans="1:14" x14ac:dyDescent="0.25">
      <c r="A106" s="21"/>
      <c r="B106" s="5" t="s">
        <v>43</v>
      </c>
      <c r="C106" s="44">
        <v>113</v>
      </c>
      <c r="D106" s="53">
        <v>105</v>
      </c>
      <c r="E106" s="53"/>
      <c r="F106" s="88">
        <f t="shared" si="8"/>
        <v>0.92920353982300885</v>
      </c>
      <c r="G106" s="53">
        <v>16</v>
      </c>
      <c r="H106" s="53">
        <v>7</v>
      </c>
      <c r="I106" s="53">
        <v>0</v>
      </c>
      <c r="J106" s="53">
        <v>3</v>
      </c>
      <c r="K106" s="53">
        <v>0</v>
      </c>
      <c r="L106" s="53">
        <v>0</v>
      </c>
      <c r="M106" s="53">
        <v>0</v>
      </c>
      <c r="N106" s="56">
        <v>9</v>
      </c>
    </row>
    <row r="107" spans="1:14" x14ac:dyDescent="0.25">
      <c r="A107" s="21"/>
      <c r="B107" s="5" t="s">
        <v>19</v>
      </c>
      <c r="C107" s="44">
        <v>20</v>
      </c>
      <c r="D107" s="53">
        <v>19</v>
      </c>
      <c r="E107" s="53"/>
      <c r="F107" s="88">
        <f t="shared" si="8"/>
        <v>0.95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  <c r="N107" s="56">
        <v>0</v>
      </c>
    </row>
    <row r="108" spans="1:14" ht="47.25" x14ac:dyDescent="0.25">
      <c r="A108" s="21"/>
      <c r="B108" s="5" t="s">
        <v>44</v>
      </c>
      <c r="C108" s="44">
        <v>32</v>
      </c>
      <c r="D108" s="53">
        <v>28</v>
      </c>
      <c r="E108" s="53"/>
      <c r="F108" s="88">
        <f t="shared" si="8"/>
        <v>0.875</v>
      </c>
      <c r="G108" s="53">
        <v>1</v>
      </c>
      <c r="H108" s="53">
        <v>1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  <c r="N108" s="56">
        <v>0</v>
      </c>
    </row>
    <row r="109" spans="1:14" x14ac:dyDescent="0.25">
      <c r="A109" s="21"/>
      <c r="B109" s="5" t="s">
        <v>45</v>
      </c>
      <c r="C109" s="44">
        <v>30</v>
      </c>
      <c r="D109" s="53">
        <v>28</v>
      </c>
      <c r="E109" s="53"/>
      <c r="F109" s="88">
        <f t="shared" si="8"/>
        <v>0.93333333333333335</v>
      </c>
      <c r="G109" s="53">
        <v>4</v>
      </c>
      <c r="H109" s="53"/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6">
        <v>0</v>
      </c>
    </row>
    <row r="110" spans="1:14" ht="47.25" x14ac:dyDescent="0.25">
      <c r="A110" s="21"/>
      <c r="B110" s="5" t="s">
        <v>46</v>
      </c>
      <c r="C110" s="44">
        <v>24</v>
      </c>
      <c r="D110" s="53">
        <v>20</v>
      </c>
      <c r="E110" s="53"/>
      <c r="F110" s="88">
        <f t="shared" si="8"/>
        <v>0.83333333333333337</v>
      </c>
      <c r="G110" s="53">
        <v>3</v>
      </c>
      <c r="H110" s="53">
        <v>2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6">
        <v>0</v>
      </c>
    </row>
    <row r="111" spans="1:14" ht="31.5" x14ac:dyDescent="0.25">
      <c r="A111" s="21"/>
      <c r="B111" s="5" t="s">
        <v>36</v>
      </c>
      <c r="C111" s="44">
        <v>20</v>
      </c>
      <c r="D111" s="53">
        <v>19</v>
      </c>
      <c r="E111" s="53"/>
      <c r="F111" s="88">
        <f t="shared" si="8"/>
        <v>0.95</v>
      </c>
      <c r="G111" s="53">
        <v>2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6">
        <v>0</v>
      </c>
    </row>
    <row r="112" spans="1:14" x14ac:dyDescent="0.25">
      <c r="A112" s="21"/>
      <c r="B112" s="5" t="s">
        <v>23</v>
      </c>
      <c r="C112" s="44">
        <v>12</v>
      </c>
      <c r="D112" s="53">
        <v>12</v>
      </c>
      <c r="E112" s="53"/>
      <c r="F112" s="88">
        <f t="shared" si="8"/>
        <v>1</v>
      </c>
      <c r="G112" s="53">
        <v>3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6">
        <v>0</v>
      </c>
    </row>
    <row r="113" spans="1:14" x14ac:dyDescent="0.25">
      <c r="A113" s="21"/>
      <c r="B113" s="5" t="s">
        <v>47</v>
      </c>
      <c r="C113" s="44">
        <v>22</v>
      </c>
      <c r="D113" s="53">
        <v>19</v>
      </c>
      <c r="E113" s="53"/>
      <c r="F113" s="88">
        <f t="shared" si="8"/>
        <v>0.86363636363636365</v>
      </c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  <c r="N113" s="56">
        <v>0</v>
      </c>
    </row>
    <row r="114" spans="1:14" x14ac:dyDescent="0.25">
      <c r="A114" s="21"/>
      <c r="B114" s="5" t="s">
        <v>24</v>
      </c>
      <c r="C114" s="44">
        <v>5</v>
      </c>
      <c r="D114" s="53">
        <v>2</v>
      </c>
      <c r="E114" s="53"/>
      <c r="F114" s="88">
        <f t="shared" si="8"/>
        <v>0.4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  <c r="N114" s="56">
        <v>0</v>
      </c>
    </row>
    <row r="115" spans="1:14" x14ac:dyDescent="0.25">
      <c r="A115" s="21"/>
      <c r="B115" s="5" t="s">
        <v>39</v>
      </c>
      <c r="C115" s="44"/>
      <c r="D115" s="53"/>
      <c r="E115" s="53"/>
      <c r="F115" s="88"/>
      <c r="G115" s="53"/>
      <c r="H115" s="53"/>
      <c r="I115" s="53"/>
      <c r="J115" s="53"/>
      <c r="K115" s="53">
        <v>0</v>
      </c>
      <c r="L115" s="53">
        <v>0</v>
      </c>
      <c r="M115" s="53">
        <v>0</v>
      </c>
      <c r="N115" s="56">
        <v>0</v>
      </c>
    </row>
    <row r="116" spans="1:14" x14ac:dyDescent="0.25">
      <c r="A116" s="21"/>
      <c r="B116" s="10" t="s">
        <v>27</v>
      </c>
      <c r="C116" s="44">
        <v>7</v>
      </c>
      <c r="D116" s="53">
        <v>7</v>
      </c>
      <c r="E116" s="53"/>
      <c r="F116" s="88">
        <f t="shared" si="8"/>
        <v>1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6">
        <v>0</v>
      </c>
    </row>
    <row r="117" spans="1:14" x14ac:dyDescent="0.25">
      <c r="A117" s="21"/>
      <c r="B117" s="5" t="s">
        <v>48</v>
      </c>
      <c r="C117" s="44">
        <v>31</v>
      </c>
      <c r="D117" s="53">
        <v>27</v>
      </c>
      <c r="E117" s="53"/>
      <c r="F117" s="88">
        <f t="shared" si="8"/>
        <v>0.87096774193548387</v>
      </c>
      <c r="G117" s="53">
        <v>6</v>
      </c>
      <c r="H117" s="53">
        <v>2</v>
      </c>
      <c r="I117" s="53">
        <v>0</v>
      </c>
      <c r="J117" s="53">
        <v>12</v>
      </c>
      <c r="K117" s="53">
        <v>0</v>
      </c>
      <c r="L117" s="53">
        <v>0</v>
      </c>
      <c r="M117" s="53">
        <v>0</v>
      </c>
      <c r="N117" s="56">
        <v>0</v>
      </c>
    </row>
    <row r="118" spans="1:14" x14ac:dyDescent="0.25">
      <c r="A118" s="21"/>
      <c r="B118" s="5" t="s">
        <v>49</v>
      </c>
      <c r="C118" s="44">
        <v>17</v>
      </c>
      <c r="D118" s="53">
        <v>16</v>
      </c>
      <c r="E118" s="53"/>
      <c r="F118" s="88">
        <f t="shared" si="8"/>
        <v>0.94117647058823528</v>
      </c>
      <c r="G118" s="53">
        <v>3</v>
      </c>
      <c r="H118" s="53">
        <v>1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6">
        <v>0</v>
      </c>
    </row>
    <row r="119" spans="1:14" x14ac:dyDescent="0.25">
      <c r="A119" s="21"/>
      <c r="B119" s="5" t="s">
        <v>29</v>
      </c>
      <c r="C119" s="44">
        <v>24</v>
      </c>
      <c r="D119" s="53">
        <v>21</v>
      </c>
      <c r="E119" s="53"/>
      <c r="F119" s="88">
        <f t="shared" si="8"/>
        <v>0.875</v>
      </c>
      <c r="G119" s="53">
        <v>3</v>
      </c>
      <c r="H119" s="53">
        <v>1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  <c r="N119" s="56">
        <v>0</v>
      </c>
    </row>
    <row r="120" spans="1:14" ht="31.5" x14ac:dyDescent="0.25">
      <c r="A120" s="21"/>
      <c r="B120" s="5" t="s">
        <v>30</v>
      </c>
      <c r="C120" s="44">
        <v>87</v>
      </c>
      <c r="D120" s="53">
        <v>76</v>
      </c>
      <c r="E120" s="53"/>
      <c r="F120" s="88">
        <f t="shared" si="8"/>
        <v>0.87356321839080464</v>
      </c>
      <c r="G120" s="53">
        <v>3</v>
      </c>
      <c r="H120" s="53">
        <v>1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  <c r="N120" s="56">
        <v>0</v>
      </c>
    </row>
    <row r="121" spans="1:14" x14ac:dyDescent="0.25">
      <c r="A121" s="46"/>
      <c r="B121" s="11" t="s">
        <v>32</v>
      </c>
      <c r="C121" s="44">
        <v>11</v>
      </c>
      <c r="D121" s="53">
        <v>9</v>
      </c>
      <c r="E121" s="53"/>
      <c r="F121" s="88">
        <f t="shared" si="8"/>
        <v>0.81818181818181823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  <c r="N121" s="56">
        <v>0</v>
      </c>
    </row>
    <row r="122" spans="1:14" ht="16.5" thickBot="1" x14ac:dyDescent="0.3">
      <c r="A122" s="26" t="s">
        <v>33</v>
      </c>
      <c r="B122" s="22"/>
      <c r="C122" s="45">
        <f>SUM(C102:C121)</f>
        <v>708</v>
      </c>
      <c r="D122" s="57">
        <f>SUM(D102:D121)</f>
        <v>632</v>
      </c>
      <c r="E122" s="57"/>
      <c r="F122" s="89">
        <f>D122/C122</f>
        <v>0.89265536723163841</v>
      </c>
      <c r="G122" s="57">
        <f>SUM(G102:G121)</f>
        <v>77</v>
      </c>
      <c r="H122" s="57">
        <f>SUM(H102:H121)</f>
        <v>32</v>
      </c>
      <c r="I122" s="57">
        <f>SUM(I102:I121)</f>
        <v>2</v>
      </c>
      <c r="J122" s="57">
        <f>SUM(J102:J121)</f>
        <v>27</v>
      </c>
      <c r="K122" s="57">
        <f t="shared" ref="K122:M122" si="9">SUM(K102:K121)</f>
        <v>0</v>
      </c>
      <c r="L122" s="57">
        <f t="shared" si="9"/>
        <v>0</v>
      </c>
      <c r="M122" s="57">
        <f t="shared" si="9"/>
        <v>0</v>
      </c>
      <c r="N122" s="59">
        <f>SUM(N102:N121)</f>
        <v>28</v>
      </c>
    </row>
    <row r="123" spans="1:14" ht="16.5" thickTop="1" x14ac:dyDescent="0.25">
      <c r="A123" s="19" t="s">
        <v>51</v>
      </c>
      <c r="B123" s="8" t="s">
        <v>14</v>
      </c>
      <c r="C123" s="43">
        <v>7</v>
      </c>
      <c r="D123" s="70">
        <v>4</v>
      </c>
      <c r="E123" s="70"/>
      <c r="F123" s="87">
        <f>D123/C123</f>
        <v>0.5714285714285714</v>
      </c>
      <c r="G123" s="70">
        <v>0</v>
      </c>
      <c r="H123" s="70">
        <v>0</v>
      </c>
      <c r="I123" s="70">
        <v>0</v>
      </c>
      <c r="J123" s="70">
        <v>0</v>
      </c>
      <c r="K123" s="70">
        <v>0</v>
      </c>
      <c r="L123" s="70">
        <v>0</v>
      </c>
      <c r="M123" s="70">
        <v>0</v>
      </c>
      <c r="N123" s="71">
        <v>0</v>
      </c>
    </row>
    <row r="124" spans="1:14" x14ac:dyDescent="0.25">
      <c r="A124" s="21"/>
      <c r="B124" s="9" t="s">
        <v>15</v>
      </c>
      <c r="C124" s="44">
        <v>20</v>
      </c>
      <c r="D124" s="53">
        <v>8</v>
      </c>
      <c r="E124" s="53"/>
      <c r="F124" s="88">
        <f>D124/C124</f>
        <v>0.4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6">
        <v>0</v>
      </c>
    </row>
    <row r="125" spans="1:14" x14ac:dyDescent="0.25">
      <c r="A125" s="21"/>
      <c r="B125" s="5" t="s">
        <v>41</v>
      </c>
      <c r="C125" s="44">
        <v>113</v>
      </c>
      <c r="D125" s="53">
        <v>107</v>
      </c>
      <c r="E125" s="53"/>
      <c r="F125" s="88">
        <f t="shared" ref="F125:F143" si="10">D125/C125</f>
        <v>0.94690265486725667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4</v>
      </c>
      <c r="N125" s="56">
        <v>0</v>
      </c>
    </row>
    <row r="126" spans="1:14" x14ac:dyDescent="0.25">
      <c r="A126" s="21"/>
      <c r="B126" s="5" t="s">
        <v>42</v>
      </c>
      <c r="C126" s="44">
        <v>113</v>
      </c>
      <c r="D126" s="53">
        <v>107</v>
      </c>
      <c r="E126" s="53"/>
      <c r="F126" s="88">
        <f t="shared" si="10"/>
        <v>0.94690265486725667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5</v>
      </c>
      <c r="N126" s="56">
        <v>0</v>
      </c>
    </row>
    <row r="127" spans="1:14" x14ac:dyDescent="0.25">
      <c r="A127" s="21"/>
      <c r="B127" s="5" t="s">
        <v>43</v>
      </c>
      <c r="C127" s="44">
        <v>113</v>
      </c>
      <c r="D127" s="53">
        <v>110</v>
      </c>
      <c r="E127" s="53"/>
      <c r="F127" s="88">
        <f t="shared" si="10"/>
        <v>0.97345132743362828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3</v>
      </c>
      <c r="N127" s="56">
        <v>0</v>
      </c>
    </row>
    <row r="128" spans="1:14" x14ac:dyDescent="0.25">
      <c r="A128" s="21"/>
      <c r="B128" s="5" t="s">
        <v>19</v>
      </c>
      <c r="C128" s="44">
        <v>20</v>
      </c>
      <c r="D128" s="53">
        <v>20</v>
      </c>
      <c r="E128" s="53"/>
      <c r="F128" s="88">
        <f t="shared" si="10"/>
        <v>1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6">
        <v>0</v>
      </c>
    </row>
    <row r="129" spans="1:14" ht="47.25" x14ac:dyDescent="0.25">
      <c r="A129" s="21"/>
      <c r="B129" s="5" t="s">
        <v>44</v>
      </c>
      <c r="C129" s="44">
        <v>32</v>
      </c>
      <c r="D129" s="53">
        <v>30</v>
      </c>
      <c r="E129" s="53"/>
      <c r="F129" s="88">
        <f t="shared" si="10"/>
        <v>0.9375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6">
        <v>0</v>
      </c>
    </row>
    <row r="130" spans="1:14" x14ac:dyDescent="0.25">
      <c r="A130" s="21"/>
      <c r="B130" s="5" t="s">
        <v>45</v>
      </c>
      <c r="C130" s="44">
        <v>30</v>
      </c>
      <c r="D130" s="53">
        <v>30</v>
      </c>
      <c r="E130" s="53"/>
      <c r="F130" s="88">
        <f t="shared" si="10"/>
        <v>1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6">
        <v>0</v>
      </c>
    </row>
    <row r="131" spans="1:14" ht="47.25" x14ac:dyDescent="0.25">
      <c r="A131" s="21"/>
      <c r="B131" s="5" t="s">
        <v>46</v>
      </c>
      <c r="C131" s="44">
        <v>24</v>
      </c>
      <c r="D131" s="53">
        <v>22</v>
      </c>
      <c r="E131" s="53"/>
      <c r="F131" s="88">
        <f t="shared" si="10"/>
        <v>0.91666666666666663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1</v>
      </c>
      <c r="N131" s="56">
        <v>0</v>
      </c>
    </row>
    <row r="132" spans="1:14" ht="31.5" x14ac:dyDescent="0.25">
      <c r="A132" s="21"/>
      <c r="B132" s="5" t="s">
        <v>36</v>
      </c>
      <c r="C132" s="44">
        <v>0</v>
      </c>
      <c r="D132" s="53">
        <v>0</v>
      </c>
      <c r="E132" s="53"/>
      <c r="F132" s="88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  <c r="N132" s="56">
        <v>0</v>
      </c>
    </row>
    <row r="133" spans="1:14" ht="31.5" x14ac:dyDescent="0.25">
      <c r="A133" s="21"/>
      <c r="B133" s="5" t="s">
        <v>52</v>
      </c>
      <c r="C133" s="44">
        <v>9</v>
      </c>
      <c r="D133" s="53">
        <v>9</v>
      </c>
      <c r="E133" s="53"/>
      <c r="F133" s="88">
        <f t="shared" si="10"/>
        <v>1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  <c r="N133" s="56">
        <v>0</v>
      </c>
    </row>
    <row r="134" spans="1:14" x14ac:dyDescent="0.25">
      <c r="A134" s="21"/>
      <c r="B134" s="5" t="s">
        <v>23</v>
      </c>
      <c r="C134" s="44">
        <v>12</v>
      </c>
      <c r="D134" s="53">
        <v>12</v>
      </c>
      <c r="E134" s="53"/>
      <c r="F134" s="88">
        <f t="shared" si="10"/>
        <v>1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  <c r="N134" s="56">
        <v>0</v>
      </c>
    </row>
    <row r="135" spans="1:14" x14ac:dyDescent="0.25">
      <c r="A135" s="21"/>
      <c r="B135" s="5" t="s">
        <v>47</v>
      </c>
      <c r="C135" s="44">
        <v>22</v>
      </c>
      <c r="D135" s="53">
        <v>22</v>
      </c>
      <c r="E135" s="53"/>
      <c r="F135" s="88">
        <f t="shared" si="10"/>
        <v>1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  <c r="N135" s="56">
        <v>0</v>
      </c>
    </row>
    <row r="136" spans="1:14" x14ac:dyDescent="0.25">
      <c r="A136" s="21"/>
      <c r="B136" s="5" t="s">
        <v>24</v>
      </c>
      <c r="C136" s="44">
        <v>5</v>
      </c>
      <c r="D136" s="53">
        <v>2</v>
      </c>
      <c r="E136" s="53"/>
      <c r="F136" s="88">
        <f t="shared" si="10"/>
        <v>0.4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  <c r="N136" s="56">
        <v>0</v>
      </c>
    </row>
    <row r="137" spans="1:14" x14ac:dyDescent="0.25">
      <c r="A137" s="21"/>
      <c r="B137" s="10" t="s">
        <v>27</v>
      </c>
      <c r="C137" s="44">
        <v>7</v>
      </c>
      <c r="D137" s="53">
        <v>7</v>
      </c>
      <c r="E137" s="53"/>
      <c r="F137" s="88">
        <f t="shared" si="10"/>
        <v>1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  <c r="N137" s="56">
        <v>0</v>
      </c>
    </row>
    <row r="138" spans="1:14" x14ac:dyDescent="0.25">
      <c r="A138" s="21"/>
      <c r="B138" s="5" t="s">
        <v>48</v>
      </c>
      <c r="C138" s="44">
        <v>31</v>
      </c>
      <c r="D138" s="53">
        <v>31</v>
      </c>
      <c r="E138" s="53"/>
      <c r="F138" s="88">
        <f t="shared" si="10"/>
        <v>1</v>
      </c>
      <c r="G138" s="53">
        <v>0</v>
      </c>
      <c r="H138" s="53">
        <v>0</v>
      </c>
      <c r="I138" s="53">
        <v>0</v>
      </c>
      <c r="J138" s="53">
        <v>31</v>
      </c>
      <c r="K138" s="53">
        <v>0</v>
      </c>
      <c r="L138" s="53">
        <v>0</v>
      </c>
      <c r="M138" s="53">
        <v>0</v>
      </c>
      <c r="N138" s="56">
        <v>0</v>
      </c>
    </row>
    <row r="139" spans="1:14" x14ac:dyDescent="0.25">
      <c r="A139" s="21"/>
      <c r="B139" s="5" t="s">
        <v>49</v>
      </c>
      <c r="C139" s="44">
        <v>17</v>
      </c>
      <c r="D139" s="53">
        <v>16</v>
      </c>
      <c r="E139" s="53"/>
      <c r="F139" s="88">
        <f t="shared" si="10"/>
        <v>0.94117647058823528</v>
      </c>
      <c r="G139" s="53">
        <v>0</v>
      </c>
      <c r="H139" s="53">
        <v>0</v>
      </c>
      <c r="I139" s="53">
        <v>0</v>
      </c>
      <c r="J139" s="53">
        <v>16</v>
      </c>
      <c r="K139" s="53">
        <v>0</v>
      </c>
      <c r="L139" s="53">
        <v>0</v>
      </c>
      <c r="M139" s="53">
        <v>0</v>
      </c>
      <c r="N139" s="56">
        <v>0</v>
      </c>
    </row>
    <row r="140" spans="1:14" x14ac:dyDescent="0.25">
      <c r="A140" s="21"/>
      <c r="B140" s="5" t="s">
        <v>29</v>
      </c>
      <c r="C140" s="44">
        <v>24</v>
      </c>
      <c r="D140" s="53">
        <v>21</v>
      </c>
      <c r="E140" s="53"/>
      <c r="F140" s="88">
        <f t="shared" si="10"/>
        <v>0.875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  <c r="N140" s="56">
        <v>0</v>
      </c>
    </row>
    <row r="141" spans="1:14" ht="31.5" x14ac:dyDescent="0.25">
      <c r="A141" s="21"/>
      <c r="B141" s="5" t="s">
        <v>30</v>
      </c>
      <c r="C141" s="44">
        <v>87</v>
      </c>
      <c r="D141" s="53">
        <v>79</v>
      </c>
      <c r="E141" s="53"/>
      <c r="F141" s="88">
        <f t="shared" si="10"/>
        <v>0.90804597701149425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2</v>
      </c>
      <c r="N141" s="56">
        <v>0</v>
      </c>
    </row>
    <row r="142" spans="1:14" x14ac:dyDescent="0.25">
      <c r="A142" s="21"/>
      <c r="B142" s="11" t="s">
        <v>32</v>
      </c>
      <c r="C142" s="44">
        <v>11</v>
      </c>
      <c r="D142" s="53">
        <v>11</v>
      </c>
      <c r="E142" s="53"/>
      <c r="F142" s="88">
        <f t="shared" si="10"/>
        <v>1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  <c r="N142" s="56">
        <v>0</v>
      </c>
    </row>
    <row r="143" spans="1:14" ht="16.5" thickBot="1" x14ac:dyDescent="0.3">
      <c r="A143" s="26" t="s">
        <v>33</v>
      </c>
      <c r="B143" s="22"/>
      <c r="C143" s="45">
        <f>SUM(C123:C142)</f>
        <v>697</v>
      </c>
      <c r="D143" s="57">
        <f>SUM(D123:D142)</f>
        <v>648</v>
      </c>
      <c r="E143" s="57"/>
      <c r="F143" s="89">
        <f t="shared" si="10"/>
        <v>0.92969870875179339</v>
      </c>
      <c r="G143" s="57">
        <v>0</v>
      </c>
      <c r="H143" s="57">
        <v>0</v>
      </c>
      <c r="I143" s="57">
        <v>0</v>
      </c>
      <c r="J143" s="57">
        <f>SUM(J123:J142)</f>
        <v>47</v>
      </c>
      <c r="K143" s="57">
        <f>SUM(K123:K142)</f>
        <v>0</v>
      </c>
      <c r="L143" s="57">
        <v>0</v>
      </c>
      <c r="M143" s="57">
        <f>SUM(M123:M142)</f>
        <v>15</v>
      </c>
      <c r="N143" s="59">
        <v>0</v>
      </c>
    </row>
    <row r="144" spans="1:14" ht="16.5" thickTop="1" x14ac:dyDescent="0.25">
      <c r="A144" s="19" t="s">
        <v>53</v>
      </c>
      <c r="B144" s="6" t="s">
        <v>14</v>
      </c>
      <c r="C144" s="43">
        <v>7</v>
      </c>
      <c r="D144" s="70">
        <v>6</v>
      </c>
      <c r="E144" s="70"/>
      <c r="F144" s="87">
        <v>0.86</v>
      </c>
      <c r="G144" s="70">
        <v>0</v>
      </c>
      <c r="H144" s="70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1">
        <v>0</v>
      </c>
    </row>
    <row r="145" spans="1:29" x14ac:dyDescent="0.25">
      <c r="A145" s="21"/>
      <c r="B145" s="1" t="s">
        <v>15</v>
      </c>
      <c r="C145" s="44">
        <v>4</v>
      </c>
      <c r="D145" s="53">
        <v>2</v>
      </c>
      <c r="E145" s="53"/>
      <c r="F145" s="88">
        <v>0.5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  <c r="N145" s="56">
        <v>0</v>
      </c>
    </row>
    <row r="146" spans="1:29" ht="31.5" x14ac:dyDescent="0.25">
      <c r="A146" s="21"/>
      <c r="B146" s="4" t="s">
        <v>54</v>
      </c>
      <c r="C146" s="44">
        <v>92</v>
      </c>
      <c r="D146" s="53">
        <v>84</v>
      </c>
      <c r="E146" s="53"/>
      <c r="F146" s="88">
        <v>0.91</v>
      </c>
      <c r="G146" s="53">
        <v>5</v>
      </c>
      <c r="H146" s="53">
        <v>0</v>
      </c>
      <c r="I146" s="53">
        <v>0</v>
      </c>
      <c r="J146" s="53">
        <v>4</v>
      </c>
      <c r="K146" s="53">
        <v>0</v>
      </c>
      <c r="L146" s="53">
        <v>0</v>
      </c>
      <c r="M146" s="53">
        <v>2</v>
      </c>
      <c r="N146" s="56">
        <v>0</v>
      </c>
    </row>
    <row r="147" spans="1:29" ht="31.5" x14ac:dyDescent="0.25">
      <c r="A147" s="21"/>
      <c r="B147" s="4" t="s">
        <v>55</v>
      </c>
      <c r="C147" s="44">
        <v>92</v>
      </c>
      <c r="D147" s="53">
        <v>79</v>
      </c>
      <c r="E147" s="53"/>
      <c r="F147" s="88">
        <v>0.86</v>
      </c>
      <c r="G147" s="53">
        <v>7</v>
      </c>
      <c r="H147" s="53">
        <v>0</v>
      </c>
      <c r="I147" s="53">
        <v>0</v>
      </c>
      <c r="J147" s="53">
        <v>1</v>
      </c>
      <c r="K147" s="53">
        <v>0</v>
      </c>
      <c r="L147" s="53">
        <v>0</v>
      </c>
      <c r="M147" s="53">
        <v>3</v>
      </c>
      <c r="N147" s="56">
        <v>0</v>
      </c>
    </row>
    <row r="148" spans="1:29" ht="31.5" x14ac:dyDescent="0.25">
      <c r="A148" s="21"/>
      <c r="B148" s="4" t="s">
        <v>56</v>
      </c>
      <c r="C148" s="44">
        <v>134</v>
      </c>
      <c r="D148" s="53">
        <v>124</v>
      </c>
      <c r="E148" s="53"/>
      <c r="F148" s="88">
        <v>0.93</v>
      </c>
      <c r="G148" s="53">
        <v>8</v>
      </c>
      <c r="H148" s="53">
        <v>0</v>
      </c>
      <c r="I148" s="53">
        <v>0</v>
      </c>
      <c r="J148" s="53">
        <v>9</v>
      </c>
      <c r="K148" s="53">
        <v>0</v>
      </c>
      <c r="L148" s="53">
        <v>0</v>
      </c>
      <c r="M148" s="53">
        <v>8</v>
      </c>
      <c r="N148" s="56">
        <v>0</v>
      </c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31.5" x14ac:dyDescent="0.25">
      <c r="A149" s="21"/>
      <c r="B149" s="4" t="s">
        <v>105</v>
      </c>
      <c r="C149" s="44">
        <v>134</v>
      </c>
      <c r="D149" s="53">
        <v>73</v>
      </c>
      <c r="E149" s="53"/>
      <c r="F149" s="88">
        <v>0.54</v>
      </c>
      <c r="G149" s="53">
        <v>0</v>
      </c>
      <c r="H149" s="53">
        <v>0</v>
      </c>
      <c r="I149" s="53">
        <v>0</v>
      </c>
      <c r="J149" s="53">
        <v>6</v>
      </c>
      <c r="K149" s="53">
        <v>0</v>
      </c>
      <c r="L149" s="53">
        <v>0</v>
      </c>
      <c r="M149" s="53">
        <v>25</v>
      </c>
      <c r="N149" s="56">
        <v>0</v>
      </c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x14ac:dyDescent="0.25">
      <c r="A150" s="21"/>
      <c r="B150" s="4" t="s">
        <v>45</v>
      </c>
      <c r="C150" s="44">
        <v>22</v>
      </c>
      <c r="D150" s="53">
        <v>18</v>
      </c>
      <c r="E150" s="53"/>
      <c r="F150" s="88">
        <v>0.82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3</v>
      </c>
      <c r="N150" s="56">
        <v>0</v>
      </c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31.5" x14ac:dyDescent="0.25">
      <c r="A151" s="21"/>
      <c r="B151" s="4" t="s">
        <v>30</v>
      </c>
      <c r="C151" s="44">
        <v>84</v>
      </c>
      <c r="D151" s="53">
        <v>66</v>
      </c>
      <c r="E151" s="53"/>
      <c r="F151" s="88">
        <v>0.79</v>
      </c>
      <c r="G151" s="53">
        <v>2</v>
      </c>
      <c r="H151" s="53">
        <v>0</v>
      </c>
      <c r="I151" s="53">
        <v>0</v>
      </c>
      <c r="J151" s="53">
        <v>4</v>
      </c>
      <c r="K151" s="53">
        <v>0</v>
      </c>
      <c r="L151" s="53">
        <v>0</v>
      </c>
      <c r="M151" s="53">
        <v>0</v>
      </c>
      <c r="N151" s="56">
        <v>0</v>
      </c>
      <c r="Q151" s="61"/>
      <c r="R151" s="61"/>
      <c r="S151" s="62"/>
      <c r="T151" s="62"/>
      <c r="U151" s="60"/>
      <c r="V151" s="63"/>
      <c r="W151" s="63"/>
      <c r="X151" s="63"/>
      <c r="Y151" s="63"/>
      <c r="Z151" s="63"/>
      <c r="AA151" s="63"/>
      <c r="AB151" s="63"/>
      <c r="AC151" s="63"/>
    </row>
    <row r="152" spans="1:29" x14ac:dyDescent="0.25">
      <c r="A152" s="46"/>
      <c r="B152" s="12" t="s">
        <v>32</v>
      </c>
      <c r="C152" s="112">
        <v>11</v>
      </c>
      <c r="D152" s="113">
        <v>9</v>
      </c>
      <c r="E152" s="113"/>
      <c r="F152" s="114">
        <v>0.82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113">
        <v>1</v>
      </c>
      <c r="N152" s="56">
        <v>0</v>
      </c>
      <c r="Q152" s="61"/>
      <c r="R152" s="61"/>
      <c r="S152" s="62"/>
      <c r="T152" s="62"/>
      <c r="U152" s="60"/>
      <c r="V152" s="63"/>
      <c r="W152" s="63"/>
      <c r="X152" s="63"/>
      <c r="Y152" s="63"/>
      <c r="Z152" s="63"/>
      <c r="AA152" s="63"/>
      <c r="AB152" s="63"/>
      <c r="AC152" s="63"/>
    </row>
    <row r="153" spans="1:29" ht="16.5" thickBot="1" x14ac:dyDescent="0.3">
      <c r="A153" s="26" t="s">
        <v>33</v>
      </c>
      <c r="B153" s="22"/>
      <c r="C153" s="45">
        <f>SUM(C144:C152)</f>
        <v>580</v>
      </c>
      <c r="D153" s="57">
        <f>SUM(D144:D152)</f>
        <v>461</v>
      </c>
      <c r="E153" s="57"/>
      <c r="F153" s="89">
        <v>0.79</v>
      </c>
      <c r="G153" s="57">
        <f>SUM(G144:G152)</f>
        <v>22</v>
      </c>
      <c r="H153" s="57">
        <f t="shared" ref="H153:M153" si="11">SUM(H144:H152)</f>
        <v>0</v>
      </c>
      <c r="I153" s="57">
        <f t="shared" si="11"/>
        <v>0</v>
      </c>
      <c r="J153" s="57">
        <f t="shared" si="11"/>
        <v>24</v>
      </c>
      <c r="K153" s="57">
        <f t="shared" si="11"/>
        <v>0</v>
      </c>
      <c r="L153" s="57">
        <f t="shared" si="11"/>
        <v>0</v>
      </c>
      <c r="M153" s="57">
        <f t="shared" si="11"/>
        <v>42</v>
      </c>
      <c r="N153" s="59">
        <f>SUM(N144:N152)</f>
        <v>0</v>
      </c>
      <c r="Q153" s="61"/>
      <c r="R153" s="61"/>
      <c r="S153" s="62"/>
      <c r="T153" s="62"/>
      <c r="U153" s="60"/>
      <c r="V153" s="62"/>
      <c r="W153" s="62"/>
      <c r="X153" s="62"/>
      <c r="Y153" s="62"/>
      <c r="Z153" s="62"/>
      <c r="AA153" s="62"/>
      <c r="AB153" s="62"/>
      <c r="AC153" s="62"/>
    </row>
    <row r="154" spans="1:29" ht="48" thickTop="1" x14ac:dyDescent="0.25">
      <c r="A154" s="19" t="s">
        <v>71</v>
      </c>
      <c r="B154" s="6" t="s">
        <v>14</v>
      </c>
      <c r="C154" s="43">
        <v>7</v>
      </c>
      <c r="D154" s="70">
        <v>4</v>
      </c>
      <c r="E154" s="70"/>
      <c r="F154" s="87">
        <f>D154/C154</f>
        <v>0.5714285714285714</v>
      </c>
      <c r="G154" s="70">
        <v>1</v>
      </c>
      <c r="H154" s="70">
        <v>1</v>
      </c>
      <c r="I154" s="70">
        <v>1</v>
      </c>
      <c r="J154" s="70">
        <v>0</v>
      </c>
      <c r="K154" s="70">
        <v>0</v>
      </c>
      <c r="L154" s="70">
        <v>0</v>
      </c>
      <c r="M154" s="70">
        <v>0</v>
      </c>
      <c r="N154" s="71">
        <v>0</v>
      </c>
      <c r="Q154" s="61"/>
      <c r="R154" s="61"/>
      <c r="S154" s="62"/>
      <c r="T154" s="62"/>
      <c r="U154" s="60"/>
      <c r="V154" s="62"/>
      <c r="W154" s="62"/>
      <c r="X154" s="62"/>
      <c r="Y154" s="62"/>
      <c r="Z154" s="62"/>
      <c r="AA154" s="62"/>
      <c r="AB154" s="62"/>
      <c r="AC154" s="62"/>
    </row>
    <row r="155" spans="1:29" x14ac:dyDescent="0.25">
      <c r="A155" s="21"/>
      <c r="B155" s="1" t="s">
        <v>15</v>
      </c>
      <c r="C155" s="44">
        <v>19</v>
      </c>
      <c r="D155" s="53">
        <v>4</v>
      </c>
      <c r="E155" s="53"/>
      <c r="F155" s="88">
        <f t="shared" ref="F155:F165" si="12">D155/C155</f>
        <v>0.21052631578947367</v>
      </c>
      <c r="G155" s="53">
        <v>2</v>
      </c>
      <c r="H155" s="53">
        <v>1</v>
      </c>
      <c r="I155" s="53">
        <v>1</v>
      </c>
      <c r="J155" s="53">
        <v>0</v>
      </c>
      <c r="K155" s="53">
        <v>0</v>
      </c>
      <c r="L155" s="53">
        <v>0</v>
      </c>
      <c r="M155" s="53">
        <v>0</v>
      </c>
      <c r="N155" s="56">
        <v>0</v>
      </c>
      <c r="Q155" s="61"/>
      <c r="R155" s="61"/>
      <c r="S155" s="62"/>
      <c r="T155" s="62"/>
      <c r="U155" s="60"/>
      <c r="V155" s="62"/>
      <c r="W155" s="62"/>
      <c r="X155" s="62"/>
      <c r="Y155" s="62"/>
      <c r="Z155" s="62"/>
      <c r="AA155" s="62"/>
      <c r="AB155" s="62"/>
      <c r="AC155" s="62"/>
    </row>
    <row r="156" spans="1:29" x14ac:dyDescent="0.25">
      <c r="A156" s="21"/>
      <c r="B156" s="4" t="s">
        <v>57</v>
      </c>
      <c r="C156" s="44">
        <v>118</v>
      </c>
      <c r="D156" s="53">
        <v>116</v>
      </c>
      <c r="E156" s="53"/>
      <c r="F156" s="88">
        <f t="shared" si="12"/>
        <v>0.98305084745762716</v>
      </c>
      <c r="G156" s="53">
        <v>12</v>
      </c>
      <c r="H156" s="53">
        <v>10</v>
      </c>
      <c r="I156" s="53">
        <v>9</v>
      </c>
      <c r="J156" s="53">
        <v>0</v>
      </c>
      <c r="K156" s="53">
        <v>0</v>
      </c>
      <c r="L156" s="53">
        <v>0</v>
      </c>
      <c r="M156" s="53">
        <v>0</v>
      </c>
      <c r="N156" s="56">
        <v>1</v>
      </c>
      <c r="Q156" s="61"/>
      <c r="R156" s="61"/>
      <c r="S156" s="62"/>
      <c r="T156" s="62"/>
      <c r="U156" s="60"/>
      <c r="V156" s="62"/>
      <c r="W156" s="62"/>
      <c r="X156" s="62"/>
      <c r="Y156" s="62"/>
      <c r="Z156" s="62"/>
      <c r="AA156" s="62"/>
      <c r="AB156" s="62"/>
      <c r="AC156" s="62"/>
    </row>
    <row r="157" spans="1:29" x14ac:dyDescent="0.25">
      <c r="A157" s="21"/>
      <c r="B157" s="4" t="s">
        <v>58</v>
      </c>
      <c r="C157" s="44">
        <v>118</v>
      </c>
      <c r="D157" s="53">
        <v>107</v>
      </c>
      <c r="E157" s="53"/>
      <c r="F157" s="88">
        <f t="shared" si="12"/>
        <v>0.90677966101694918</v>
      </c>
      <c r="G157" s="53">
        <v>15</v>
      </c>
      <c r="H157" s="53">
        <v>10</v>
      </c>
      <c r="I157" s="53">
        <v>4</v>
      </c>
      <c r="J157" s="53">
        <v>0</v>
      </c>
      <c r="K157" s="53">
        <v>0</v>
      </c>
      <c r="L157" s="53">
        <v>0</v>
      </c>
      <c r="M157" s="53">
        <v>0</v>
      </c>
      <c r="N157" s="56">
        <v>1</v>
      </c>
      <c r="Q157" s="61"/>
      <c r="R157" s="61"/>
      <c r="S157" s="62"/>
      <c r="T157" s="62"/>
      <c r="U157" s="60"/>
      <c r="V157" s="62"/>
      <c r="W157" s="62"/>
      <c r="X157" s="62"/>
      <c r="Y157" s="62"/>
      <c r="Z157" s="62"/>
      <c r="AA157" s="62"/>
      <c r="AB157" s="62"/>
      <c r="AC157" s="62"/>
    </row>
    <row r="158" spans="1:29" x14ac:dyDescent="0.25">
      <c r="A158" s="21"/>
      <c r="B158" s="4" t="s">
        <v>19</v>
      </c>
      <c r="C158" s="44">
        <v>15</v>
      </c>
      <c r="D158" s="53">
        <v>12</v>
      </c>
      <c r="E158" s="53"/>
      <c r="F158" s="88">
        <f t="shared" si="12"/>
        <v>0.8</v>
      </c>
      <c r="G158" s="53">
        <v>2</v>
      </c>
      <c r="H158" s="53">
        <v>2</v>
      </c>
      <c r="I158" s="53">
        <v>1</v>
      </c>
      <c r="J158" s="53">
        <v>0</v>
      </c>
      <c r="K158" s="53">
        <v>0</v>
      </c>
      <c r="L158" s="53">
        <v>0</v>
      </c>
      <c r="M158" s="53">
        <v>0</v>
      </c>
      <c r="N158" s="56">
        <v>0</v>
      </c>
      <c r="Q158" s="61"/>
      <c r="R158" s="61"/>
      <c r="S158" s="62"/>
      <c r="T158" s="62"/>
      <c r="U158" s="60"/>
      <c r="V158" s="62"/>
      <c r="W158" s="62"/>
      <c r="X158" s="62"/>
      <c r="Y158" s="62"/>
      <c r="Z158" s="62"/>
      <c r="AA158" s="62"/>
      <c r="AB158" s="62"/>
      <c r="AC158" s="62"/>
    </row>
    <row r="159" spans="1:29" x14ac:dyDescent="0.25">
      <c r="A159" s="21"/>
      <c r="B159" s="4" t="s">
        <v>20</v>
      </c>
      <c r="C159" s="44">
        <v>28</v>
      </c>
      <c r="D159" s="53">
        <v>27</v>
      </c>
      <c r="E159" s="53"/>
      <c r="F159" s="88">
        <f t="shared" si="12"/>
        <v>0.9642857142857143</v>
      </c>
      <c r="G159" s="53">
        <v>2</v>
      </c>
      <c r="H159" s="53">
        <v>2</v>
      </c>
      <c r="I159" s="53">
        <v>1</v>
      </c>
      <c r="J159" s="53">
        <v>0</v>
      </c>
      <c r="K159" s="53">
        <v>0</v>
      </c>
      <c r="L159" s="53">
        <v>0</v>
      </c>
      <c r="M159" s="53">
        <v>0</v>
      </c>
      <c r="N159" s="56">
        <v>0</v>
      </c>
      <c r="Q159" s="61"/>
      <c r="R159" s="61"/>
      <c r="S159" s="62"/>
      <c r="T159" s="62"/>
      <c r="U159" s="60"/>
      <c r="V159" s="62"/>
      <c r="W159" s="62"/>
      <c r="X159" s="62"/>
      <c r="Y159" s="62"/>
      <c r="Z159" s="62"/>
      <c r="AA159" s="62"/>
      <c r="AB159" s="62"/>
      <c r="AC159" s="62"/>
    </row>
    <row r="160" spans="1:29" ht="31.5" x14ac:dyDescent="0.25">
      <c r="A160" s="21"/>
      <c r="B160" s="5" t="s">
        <v>59</v>
      </c>
      <c r="C160" s="44">
        <v>17</v>
      </c>
      <c r="D160" s="53">
        <v>16</v>
      </c>
      <c r="E160" s="53"/>
      <c r="F160" s="88">
        <f t="shared" si="12"/>
        <v>0.94117647058823528</v>
      </c>
      <c r="G160" s="53">
        <v>1</v>
      </c>
      <c r="H160" s="53">
        <v>0</v>
      </c>
      <c r="I160" s="53">
        <v>1</v>
      </c>
      <c r="J160" s="53">
        <v>0</v>
      </c>
      <c r="K160" s="53">
        <v>0</v>
      </c>
      <c r="L160" s="53">
        <v>0</v>
      </c>
      <c r="M160" s="53">
        <v>0</v>
      </c>
      <c r="N160" s="56">
        <v>0</v>
      </c>
      <c r="Q160" s="61"/>
      <c r="R160" s="61"/>
      <c r="S160" s="62"/>
      <c r="T160" s="62"/>
      <c r="U160" s="60"/>
      <c r="V160" s="62"/>
      <c r="W160" s="62"/>
      <c r="X160" s="62"/>
      <c r="Y160" s="62"/>
      <c r="Z160" s="62"/>
      <c r="AA160" s="62"/>
      <c r="AB160" s="62"/>
      <c r="AC160" s="62"/>
    </row>
    <row r="161" spans="1:29" x14ac:dyDescent="0.25">
      <c r="A161" s="21"/>
      <c r="B161" s="5" t="s">
        <v>22</v>
      </c>
      <c r="C161" s="44">
        <v>20</v>
      </c>
      <c r="D161" s="53">
        <v>19</v>
      </c>
      <c r="E161" s="53"/>
      <c r="F161" s="88">
        <f t="shared" si="12"/>
        <v>0.95</v>
      </c>
      <c r="G161" s="53">
        <v>5</v>
      </c>
      <c r="H161" s="53">
        <v>4</v>
      </c>
      <c r="I161" s="53">
        <v>2</v>
      </c>
      <c r="J161" s="53">
        <v>0</v>
      </c>
      <c r="K161" s="53">
        <v>0</v>
      </c>
      <c r="L161" s="53">
        <v>0</v>
      </c>
      <c r="M161" s="53">
        <v>0</v>
      </c>
      <c r="N161" s="56">
        <v>3</v>
      </c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x14ac:dyDescent="0.25">
      <c r="A162" s="21"/>
      <c r="B162" s="5" t="s">
        <v>60</v>
      </c>
      <c r="C162" s="44">
        <v>5</v>
      </c>
      <c r="D162" s="53">
        <v>0</v>
      </c>
      <c r="E162" s="53"/>
      <c r="F162" s="88">
        <f t="shared" si="12"/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  <c r="N162" s="56">
        <v>0</v>
      </c>
    </row>
    <row r="163" spans="1:29" ht="31.5" x14ac:dyDescent="0.25">
      <c r="A163" s="21"/>
      <c r="B163" s="5" t="s">
        <v>30</v>
      </c>
      <c r="C163" s="44">
        <v>119</v>
      </c>
      <c r="D163" s="53">
        <v>116</v>
      </c>
      <c r="E163" s="53"/>
      <c r="F163" s="88">
        <f t="shared" si="12"/>
        <v>0.97478991596638653</v>
      </c>
      <c r="G163" s="53">
        <v>10</v>
      </c>
      <c r="H163" s="53">
        <v>8</v>
      </c>
      <c r="I163" s="53">
        <v>3</v>
      </c>
      <c r="J163" s="53">
        <v>0</v>
      </c>
      <c r="K163" s="53">
        <v>0</v>
      </c>
      <c r="L163" s="53">
        <v>0</v>
      </c>
      <c r="M163" s="53">
        <v>0</v>
      </c>
      <c r="N163" s="56">
        <v>5</v>
      </c>
    </row>
    <row r="164" spans="1:29" ht="31.5" x14ac:dyDescent="0.25">
      <c r="A164" s="21"/>
      <c r="B164" s="5" t="s">
        <v>61</v>
      </c>
      <c r="C164" s="44">
        <v>73</v>
      </c>
      <c r="D164" s="53">
        <v>63</v>
      </c>
      <c r="E164" s="53"/>
      <c r="F164" s="88">
        <f t="shared" si="12"/>
        <v>0.86301369863013699</v>
      </c>
      <c r="G164" s="53">
        <v>0</v>
      </c>
      <c r="H164" s="53">
        <v>0</v>
      </c>
      <c r="I164" s="53">
        <v>0</v>
      </c>
      <c r="J164" s="53">
        <v>8</v>
      </c>
      <c r="K164" s="53">
        <v>0</v>
      </c>
      <c r="L164" s="53">
        <v>0</v>
      </c>
      <c r="M164" s="53">
        <v>0</v>
      </c>
      <c r="N164" s="56">
        <v>0</v>
      </c>
    </row>
    <row r="165" spans="1:29" ht="31.5" x14ac:dyDescent="0.25">
      <c r="A165" s="21"/>
      <c r="B165" s="5" t="s">
        <v>62</v>
      </c>
      <c r="C165" s="44">
        <v>109</v>
      </c>
      <c r="D165" s="53">
        <v>97</v>
      </c>
      <c r="E165" s="53"/>
      <c r="F165" s="88">
        <f t="shared" si="12"/>
        <v>0.88990825688073394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  <c r="N165" s="56">
        <v>0</v>
      </c>
    </row>
    <row r="166" spans="1:29" ht="16.5" thickBot="1" x14ac:dyDescent="0.3">
      <c r="A166" s="26" t="s">
        <v>33</v>
      </c>
      <c r="B166" s="22"/>
      <c r="C166" s="45">
        <f>SUM(C154:C165)</f>
        <v>648</v>
      </c>
      <c r="D166" s="57">
        <f>SUM(D154:D165)</f>
        <v>581</v>
      </c>
      <c r="E166" s="57"/>
      <c r="F166" s="89"/>
      <c r="G166" s="57">
        <f>SUM(G154:G165)</f>
        <v>50</v>
      </c>
      <c r="H166" s="57">
        <f>SUM(H154:H165)</f>
        <v>38</v>
      </c>
      <c r="I166" s="57">
        <f>SUM(I154:I165)</f>
        <v>23</v>
      </c>
      <c r="J166" s="57">
        <f t="shared" ref="J166:N166" si="13">SUM(J154:J165)</f>
        <v>8</v>
      </c>
      <c r="K166" s="57">
        <f t="shared" si="13"/>
        <v>0</v>
      </c>
      <c r="L166" s="57">
        <f t="shared" si="13"/>
        <v>0</v>
      </c>
      <c r="M166" s="57">
        <f t="shared" si="13"/>
        <v>0</v>
      </c>
      <c r="N166" s="59">
        <f t="shared" si="13"/>
        <v>10</v>
      </c>
    </row>
    <row r="167" spans="1:29" ht="16.5" thickTop="1" x14ac:dyDescent="0.25">
      <c r="A167" s="36" t="s">
        <v>65</v>
      </c>
      <c r="B167" s="8" t="s">
        <v>14</v>
      </c>
      <c r="C167" s="40">
        <v>6</v>
      </c>
      <c r="D167" s="27">
        <v>4</v>
      </c>
      <c r="E167" s="118"/>
      <c r="F167" s="79">
        <f>D167/C167</f>
        <v>0.66666666666666663</v>
      </c>
      <c r="G167" s="70">
        <v>0</v>
      </c>
      <c r="H167" s="70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1">
        <v>0</v>
      </c>
    </row>
    <row r="168" spans="1:29" x14ac:dyDescent="0.25">
      <c r="A168" s="18"/>
      <c r="B168" s="5" t="s">
        <v>15</v>
      </c>
      <c r="C168" s="41">
        <v>14</v>
      </c>
      <c r="D168" s="65">
        <v>8</v>
      </c>
      <c r="E168" s="65"/>
      <c r="F168" s="38">
        <f t="shared" ref="F168:F176" si="14">D168/C168</f>
        <v>0.5714285714285714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  <c r="N168" s="56">
        <v>0</v>
      </c>
    </row>
    <row r="169" spans="1:29" ht="31.5" x14ac:dyDescent="0.25">
      <c r="A169" s="18"/>
      <c r="B169" s="5" t="s">
        <v>66</v>
      </c>
      <c r="C169" s="41">
        <v>117</v>
      </c>
      <c r="D169" s="65">
        <v>110</v>
      </c>
      <c r="E169" s="65"/>
      <c r="F169" s="38">
        <f t="shared" si="14"/>
        <v>0.94017094017094016</v>
      </c>
      <c r="G169" s="68">
        <v>16</v>
      </c>
      <c r="H169" s="30">
        <v>23</v>
      </c>
      <c r="I169" s="53">
        <v>0</v>
      </c>
      <c r="J169" s="53">
        <v>0</v>
      </c>
      <c r="K169" s="53">
        <v>0</v>
      </c>
      <c r="L169" s="53">
        <v>0</v>
      </c>
      <c r="M169" s="30">
        <v>4</v>
      </c>
      <c r="N169" s="56">
        <v>0</v>
      </c>
    </row>
    <row r="170" spans="1:29" ht="31.5" x14ac:dyDescent="0.25">
      <c r="A170" s="18"/>
      <c r="B170" s="5" t="s">
        <v>67</v>
      </c>
      <c r="C170" s="41">
        <v>117</v>
      </c>
      <c r="D170" s="65">
        <v>111</v>
      </c>
      <c r="E170" s="65"/>
      <c r="F170" s="38">
        <f t="shared" si="14"/>
        <v>0.94871794871794868</v>
      </c>
      <c r="G170" s="68">
        <v>21</v>
      </c>
      <c r="H170" s="30">
        <v>30</v>
      </c>
      <c r="I170" s="53">
        <v>0</v>
      </c>
      <c r="J170" s="53">
        <v>0</v>
      </c>
      <c r="K170" s="53">
        <v>0</v>
      </c>
      <c r="L170" s="53">
        <v>0</v>
      </c>
      <c r="M170" s="30">
        <v>4</v>
      </c>
      <c r="N170" s="56">
        <v>0</v>
      </c>
    </row>
    <row r="171" spans="1:29" ht="31.5" x14ac:dyDescent="0.25">
      <c r="A171" s="18"/>
      <c r="B171" s="5" t="s">
        <v>68</v>
      </c>
      <c r="C171" s="41">
        <v>23</v>
      </c>
      <c r="D171" s="65">
        <v>20</v>
      </c>
      <c r="E171" s="65"/>
      <c r="F171" s="38">
        <f t="shared" si="14"/>
        <v>0.86956521739130432</v>
      </c>
      <c r="G171" s="68">
        <v>1</v>
      </c>
      <c r="H171" s="30">
        <v>3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  <c r="N171" s="56">
        <v>0</v>
      </c>
    </row>
    <row r="172" spans="1:29" ht="31.5" x14ac:dyDescent="0.25">
      <c r="A172" s="18"/>
      <c r="B172" s="5" t="s">
        <v>73</v>
      </c>
      <c r="C172" s="41">
        <v>21</v>
      </c>
      <c r="D172" s="65">
        <v>20</v>
      </c>
      <c r="E172" s="65"/>
      <c r="F172" s="38">
        <f t="shared" si="14"/>
        <v>0.95238095238095233</v>
      </c>
      <c r="G172" s="68">
        <v>1</v>
      </c>
      <c r="H172" s="30">
        <v>3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  <c r="N172" s="56">
        <v>0</v>
      </c>
    </row>
    <row r="173" spans="1:29" x14ac:dyDescent="0.25">
      <c r="A173" s="18"/>
      <c r="B173" s="5" t="s">
        <v>19</v>
      </c>
      <c r="C173" s="41">
        <v>15</v>
      </c>
      <c r="D173" s="65">
        <v>14</v>
      </c>
      <c r="E173" s="65"/>
      <c r="F173" s="38">
        <f t="shared" si="14"/>
        <v>0.93333333333333335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  <c r="N173" s="56">
        <v>0</v>
      </c>
    </row>
    <row r="174" spans="1:29" ht="31.5" x14ac:dyDescent="0.25">
      <c r="A174" s="18"/>
      <c r="B174" s="5" t="s">
        <v>59</v>
      </c>
      <c r="C174" s="41">
        <v>24</v>
      </c>
      <c r="D174" s="65">
        <v>23</v>
      </c>
      <c r="E174" s="65"/>
      <c r="F174" s="38">
        <f t="shared" si="14"/>
        <v>0.95833333333333337</v>
      </c>
      <c r="G174" s="68">
        <v>1</v>
      </c>
      <c r="H174" s="30">
        <v>2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  <c r="N174" s="56">
        <v>0</v>
      </c>
    </row>
    <row r="175" spans="1:29" x14ac:dyDescent="0.25">
      <c r="A175" s="18"/>
      <c r="B175" s="5" t="s">
        <v>70</v>
      </c>
      <c r="C175" s="41">
        <v>12</v>
      </c>
      <c r="D175" s="65">
        <v>7</v>
      </c>
      <c r="E175" s="65"/>
      <c r="F175" s="38">
        <f t="shared" si="14"/>
        <v>0.58333333333333337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30">
        <v>1</v>
      </c>
      <c r="N175" s="56">
        <v>0</v>
      </c>
    </row>
    <row r="176" spans="1:29" x14ac:dyDescent="0.25">
      <c r="A176" s="18"/>
      <c r="B176" s="5" t="s">
        <v>32</v>
      </c>
      <c r="C176" s="41">
        <v>4</v>
      </c>
      <c r="D176" s="65">
        <v>3</v>
      </c>
      <c r="E176" s="65"/>
      <c r="F176" s="38">
        <f t="shared" si="14"/>
        <v>0.75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  <c r="N176" s="56">
        <v>0</v>
      </c>
    </row>
    <row r="177" spans="1:14" ht="16.5" thickBot="1" x14ac:dyDescent="0.3">
      <c r="A177" s="24" t="s">
        <v>33</v>
      </c>
      <c r="B177" s="78"/>
      <c r="C177" s="42">
        <f>SUM(C167:C176)</f>
        <v>353</v>
      </c>
      <c r="D177" s="33">
        <f>SUM(D167:D176)</f>
        <v>320</v>
      </c>
      <c r="E177" s="33"/>
      <c r="F177" s="39">
        <f>D177/C177</f>
        <v>0.90651558073654392</v>
      </c>
      <c r="G177" s="33">
        <f>SUM(G167:G176)</f>
        <v>40</v>
      </c>
      <c r="H177" s="33">
        <f>SUM(H167:H176)</f>
        <v>61</v>
      </c>
      <c r="I177" s="33">
        <f t="shared" ref="I177:N177" si="15">SUM(I167:I176)</f>
        <v>0</v>
      </c>
      <c r="J177" s="33">
        <f t="shared" si="15"/>
        <v>0</v>
      </c>
      <c r="K177" s="33">
        <f t="shared" si="15"/>
        <v>0</v>
      </c>
      <c r="L177" s="33">
        <f t="shared" si="15"/>
        <v>0</v>
      </c>
      <c r="M177" s="33">
        <f t="shared" si="15"/>
        <v>9</v>
      </c>
      <c r="N177" s="35">
        <f t="shared" si="15"/>
        <v>0</v>
      </c>
    </row>
    <row r="178" spans="1:14" ht="16.5" thickTop="1" x14ac:dyDescent="0.25">
      <c r="A178" s="36" t="s">
        <v>72</v>
      </c>
      <c r="B178" s="8" t="s">
        <v>14</v>
      </c>
      <c r="C178" s="40">
        <v>7</v>
      </c>
      <c r="D178" s="27">
        <v>4</v>
      </c>
      <c r="E178" s="119"/>
      <c r="F178" s="82">
        <f>D178/C178</f>
        <v>0.5714285714285714</v>
      </c>
      <c r="G178" s="27">
        <v>1</v>
      </c>
      <c r="H178" s="27">
        <v>1</v>
      </c>
      <c r="I178" s="70">
        <v>0</v>
      </c>
      <c r="J178" s="27">
        <v>0</v>
      </c>
      <c r="K178" s="70">
        <v>0</v>
      </c>
      <c r="L178" s="70">
        <v>0</v>
      </c>
      <c r="M178" s="70">
        <v>0</v>
      </c>
      <c r="N178" s="71">
        <v>0</v>
      </c>
    </row>
    <row r="179" spans="1:14" x14ac:dyDescent="0.25">
      <c r="A179" s="18"/>
      <c r="B179" s="5" t="s">
        <v>15</v>
      </c>
      <c r="C179" s="41">
        <v>13</v>
      </c>
      <c r="D179" s="30">
        <v>5</v>
      </c>
      <c r="E179" s="30"/>
      <c r="F179" s="38">
        <f t="shared" ref="F179:F190" si="16">D179/C179</f>
        <v>0.38461538461538464</v>
      </c>
      <c r="G179" s="53">
        <v>0</v>
      </c>
      <c r="H179" s="53">
        <v>0</v>
      </c>
      <c r="I179" s="53">
        <v>0</v>
      </c>
      <c r="J179" s="30">
        <v>0</v>
      </c>
      <c r="K179" s="53">
        <v>0</v>
      </c>
      <c r="L179" s="53">
        <v>0</v>
      </c>
      <c r="M179" s="53">
        <v>0</v>
      </c>
      <c r="N179" s="56">
        <v>0</v>
      </c>
    </row>
    <row r="180" spans="1:14" ht="31.5" x14ac:dyDescent="0.25">
      <c r="A180" s="18"/>
      <c r="B180" s="5" t="s">
        <v>66</v>
      </c>
      <c r="C180" s="41">
        <v>88</v>
      </c>
      <c r="D180" s="30">
        <v>75</v>
      </c>
      <c r="E180" s="30"/>
      <c r="F180" s="38">
        <f t="shared" si="16"/>
        <v>0.85227272727272729</v>
      </c>
      <c r="G180" s="30">
        <v>15</v>
      </c>
      <c r="H180" s="30">
        <v>10</v>
      </c>
      <c r="I180" s="30">
        <v>2</v>
      </c>
      <c r="J180" s="30">
        <v>0</v>
      </c>
      <c r="K180" s="53">
        <v>0</v>
      </c>
      <c r="L180" s="53">
        <v>0</v>
      </c>
      <c r="M180" s="30">
        <v>14</v>
      </c>
      <c r="N180" s="56">
        <v>0</v>
      </c>
    </row>
    <row r="181" spans="1:14" ht="31.5" x14ac:dyDescent="0.25">
      <c r="A181" s="18"/>
      <c r="B181" s="5" t="s">
        <v>67</v>
      </c>
      <c r="C181" s="41">
        <v>85</v>
      </c>
      <c r="D181" s="30">
        <v>76</v>
      </c>
      <c r="E181" s="30"/>
      <c r="F181" s="38">
        <f t="shared" si="16"/>
        <v>0.89411764705882357</v>
      </c>
      <c r="G181" s="30">
        <v>30</v>
      </c>
      <c r="H181" s="30">
        <v>10</v>
      </c>
      <c r="I181" s="30">
        <v>3</v>
      </c>
      <c r="J181" s="30">
        <v>0</v>
      </c>
      <c r="K181" s="53">
        <v>0</v>
      </c>
      <c r="L181" s="53">
        <v>0</v>
      </c>
      <c r="M181" s="30">
        <v>2</v>
      </c>
      <c r="N181" s="56">
        <v>0</v>
      </c>
    </row>
    <row r="182" spans="1:14" x14ac:dyDescent="0.25">
      <c r="A182" s="18"/>
      <c r="B182" s="5" t="s">
        <v>19</v>
      </c>
      <c r="C182" s="41">
        <v>15</v>
      </c>
      <c r="D182" s="30">
        <v>13</v>
      </c>
      <c r="E182" s="30"/>
      <c r="F182" s="38">
        <f t="shared" si="16"/>
        <v>0.8666666666666667</v>
      </c>
      <c r="G182" s="30">
        <v>3</v>
      </c>
      <c r="H182" s="30">
        <v>2</v>
      </c>
      <c r="I182" s="53">
        <v>0</v>
      </c>
      <c r="J182" s="30">
        <v>0</v>
      </c>
      <c r="K182" s="53">
        <v>0</v>
      </c>
      <c r="L182" s="53">
        <v>0</v>
      </c>
      <c r="M182" s="53">
        <v>0</v>
      </c>
      <c r="N182" s="56">
        <v>0</v>
      </c>
    </row>
    <row r="183" spans="1:14" ht="31.5" x14ac:dyDescent="0.25">
      <c r="A183" s="18"/>
      <c r="B183" s="5" t="s">
        <v>73</v>
      </c>
      <c r="C183" s="41">
        <v>23</v>
      </c>
      <c r="D183" s="30">
        <v>21</v>
      </c>
      <c r="E183" s="30"/>
      <c r="F183" s="38">
        <f t="shared" si="16"/>
        <v>0.91304347826086951</v>
      </c>
      <c r="G183" s="30">
        <v>0</v>
      </c>
      <c r="H183" s="53">
        <v>0</v>
      </c>
      <c r="I183" s="53">
        <v>0</v>
      </c>
      <c r="J183" s="30">
        <v>0</v>
      </c>
      <c r="K183" s="53">
        <v>0</v>
      </c>
      <c r="L183" s="53">
        <v>0</v>
      </c>
      <c r="M183" s="30">
        <v>2</v>
      </c>
      <c r="N183" s="56">
        <v>0</v>
      </c>
    </row>
    <row r="184" spans="1:14" ht="47.25" x14ac:dyDescent="0.25">
      <c r="A184" s="18"/>
      <c r="B184" s="5" t="s">
        <v>74</v>
      </c>
      <c r="C184" s="41">
        <v>27</v>
      </c>
      <c r="D184" s="30">
        <v>23</v>
      </c>
      <c r="E184" s="30"/>
      <c r="F184" s="38">
        <f t="shared" si="16"/>
        <v>0.85185185185185186</v>
      </c>
      <c r="G184" s="30">
        <v>0</v>
      </c>
      <c r="H184" s="53">
        <v>0</v>
      </c>
      <c r="I184" s="53">
        <v>0</v>
      </c>
      <c r="J184" s="30">
        <v>0</v>
      </c>
      <c r="K184" s="53">
        <v>0</v>
      </c>
      <c r="L184" s="53">
        <v>0</v>
      </c>
      <c r="M184" s="53">
        <v>0</v>
      </c>
      <c r="N184" s="56">
        <v>0</v>
      </c>
    </row>
    <row r="185" spans="1:14" x14ac:dyDescent="0.25">
      <c r="A185" s="18"/>
      <c r="B185" s="14" t="s">
        <v>75</v>
      </c>
      <c r="C185" s="41">
        <v>22</v>
      </c>
      <c r="D185" s="30">
        <v>18</v>
      </c>
      <c r="E185" s="30"/>
      <c r="F185" s="38">
        <f t="shared" si="16"/>
        <v>0.81818181818181823</v>
      </c>
      <c r="G185" s="30">
        <v>0</v>
      </c>
      <c r="H185" s="53">
        <v>0</v>
      </c>
      <c r="I185" s="53">
        <v>0</v>
      </c>
      <c r="J185" s="30">
        <v>0</v>
      </c>
      <c r="K185" s="53">
        <v>0</v>
      </c>
      <c r="L185" s="53">
        <v>0</v>
      </c>
      <c r="M185" s="53">
        <v>0</v>
      </c>
      <c r="N185" s="56">
        <v>0</v>
      </c>
    </row>
    <row r="186" spans="1:14" x14ac:dyDescent="0.25">
      <c r="A186" s="18"/>
      <c r="B186" s="14" t="s">
        <v>27</v>
      </c>
      <c r="C186" s="41">
        <v>16</v>
      </c>
      <c r="D186" s="30">
        <v>14</v>
      </c>
      <c r="E186" s="30"/>
      <c r="F186" s="38">
        <f t="shared" si="16"/>
        <v>0.875</v>
      </c>
      <c r="G186" s="30">
        <v>0</v>
      </c>
      <c r="H186" s="53">
        <v>0</v>
      </c>
      <c r="I186" s="53">
        <v>0</v>
      </c>
      <c r="J186" s="30">
        <v>0</v>
      </c>
      <c r="K186" s="53">
        <v>0</v>
      </c>
      <c r="L186" s="53">
        <v>0</v>
      </c>
      <c r="M186" s="53">
        <v>0</v>
      </c>
      <c r="N186" s="56">
        <v>0</v>
      </c>
    </row>
    <row r="187" spans="1:14" ht="31.5" x14ac:dyDescent="0.25">
      <c r="A187" s="18"/>
      <c r="B187" s="5" t="s">
        <v>30</v>
      </c>
      <c r="C187" s="41">
        <v>70</v>
      </c>
      <c r="D187" s="30">
        <v>59</v>
      </c>
      <c r="E187" s="30"/>
      <c r="F187" s="38">
        <f t="shared" si="16"/>
        <v>0.84285714285714286</v>
      </c>
      <c r="G187" s="30">
        <v>19</v>
      </c>
      <c r="H187" s="30">
        <v>7</v>
      </c>
      <c r="I187" s="30">
        <v>2</v>
      </c>
      <c r="J187" s="30">
        <v>0</v>
      </c>
      <c r="K187" s="53">
        <v>0</v>
      </c>
      <c r="L187" s="53">
        <v>0</v>
      </c>
      <c r="M187" s="30">
        <v>6</v>
      </c>
      <c r="N187" s="56">
        <v>0</v>
      </c>
    </row>
    <row r="188" spans="1:14" x14ac:dyDescent="0.25">
      <c r="A188" s="18"/>
      <c r="B188" s="5" t="s">
        <v>70</v>
      </c>
      <c r="C188" s="41">
        <v>12</v>
      </c>
      <c r="D188" s="30">
        <v>7</v>
      </c>
      <c r="E188" s="30"/>
      <c r="F188" s="38">
        <f t="shared" si="16"/>
        <v>0.58333333333333337</v>
      </c>
      <c r="G188" s="30">
        <v>0</v>
      </c>
      <c r="H188" s="53">
        <v>0</v>
      </c>
      <c r="I188" s="53">
        <v>0</v>
      </c>
      <c r="J188" s="30">
        <v>0</v>
      </c>
      <c r="K188" s="53">
        <v>0</v>
      </c>
      <c r="L188" s="53">
        <v>0</v>
      </c>
      <c r="M188" s="53">
        <v>0</v>
      </c>
      <c r="N188" s="56">
        <v>0</v>
      </c>
    </row>
    <row r="189" spans="1:14" x14ac:dyDescent="0.25">
      <c r="A189" s="18"/>
      <c r="B189" s="5" t="s">
        <v>32</v>
      </c>
      <c r="C189" s="41">
        <v>4</v>
      </c>
      <c r="D189" s="30">
        <v>3</v>
      </c>
      <c r="E189" s="30"/>
      <c r="F189" s="38">
        <f t="shared" si="16"/>
        <v>0.75</v>
      </c>
      <c r="G189" s="30">
        <v>0</v>
      </c>
      <c r="H189" s="53">
        <v>0</v>
      </c>
      <c r="I189" s="53">
        <v>0</v>
      </c>
      <c r="J189" s="30">
        <v>0</v>
      </c>
      <c r="K189" s="53">
        <v>0</v>
      </c>
      <c r="L189" s="53">
        <v>0</v>
      </c>
      <c r="M189" s="53">
        <v>0</v>
      </c>
      <c r="N189" s="56">
        <v>0</v>
      </c>
    </row>
    <row r="190" spans="1:14" ht="16.5" thickBot="1" x14ac:dyDescent="0.3">
      <c r="A190" s="24" t="s">
        <v>33</v>
      </c>
      <c r="B190" s="15"/>
      <c r="C190" s="42">
        <f>SUM(C178:C189)</f>
        <v>382</v>
      </c>
      <c r="D190" s="33">
        <f>SUM(D178:D189)</f>
        <v>318</v>
      </c>
      <c r="E190" s="33"/>
      <c r="F190" s="39">
        <f t="shared" si="16"/>
        <v>0.83246073298429324</v>
      </c>
      <c r="G190" s="33">
        <f t="shared" ref="G190" si="17">SUM(G178:G189)</f>
        <v>68</v>
      </c>
      <c r="H190" s="33">
        <f>SUM(H178:H189)</f>
        <v>30</v>
      </c>
      <c r="I190" s="33">
        <f t="shared" ref="I190:N190" si="18">SUM(I178:I189)</f>
        <v>7</v>
      </c>
      <c r="J190" s="33">
        <f t="shared" si="18"/>
        <v>0</v>
      </c>
      <c r="K190" s="33">
        <f t="shared" si="18"/>
        <v>0</v>
      </c>
      <c r="L190" s="33">
        <f t="shared" si="18"/>
        <v>0</v>
      </c>
      <c r="M190" s="33">
        <f t="shared" si="18"/>
        <v>24</v>
      </c>
      <c r="N190" s="35">
        <f t="shared" si="18"/>
        <v>0</v>
      </c>
    </row>
    <row r="191" spans="1:14" ht="32.25" thickTop="1" x14ac:dyDescent="0.25">
      <c r="A191" s="17" t="s">
        <v>76</v>
      </c>
      <c r="B191" s="8" t="s">
        <v>14</v>
      </c>
      <c r="C191" s="40">
        <v>7</v>
      </c>
      <c r="D191" s="27">
        <v>5</v>
      </c>
      <c r="E191" s="27"/>
      <c r="F191" s="37">
        <f>D191/C191</f>
        <v>0.7142857142857143</v>
      </c>
      <c r="G191" s="70">
        <v>0</v>
      </c>
      <c r="H191" s="70">
        <v>0</v>
      </c>
      <c r="I191" s="70">
        <v>0</v>
      </c>
      <c r="J191" s="70">
        <v>0</v>
      </c>
      <c r="K191" s="70">
        <v>0</v>
      </c>
      <c r="L191" s="70">
        <v>0</v>
      </c>
      <c r="M191" s="70">
        <v>0</v>
      </c>
      <c r="N191" s="71">
        <v>0</v>
      </c>
    </row>
    <row r="192" spans="1:14" x14ac:dyDescent="0.25">
      <c r="A192" s="18"/>
      <c r="B192" s="5" t="s">
        <v>15</v>
      </c>
      <c r="C192" s="41">
        <v>11</v>
      </c>
      <c r="D192" s="30">
        <v>6</v>
      </c>
      <c r="E192" s="30"/>
      <c r="F192" s="38">
        <f t="shared" ref="F192:F200" si="19">D192/C192</f>
        <v>0.54545454545454541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  <c r="N192" s="56">
        <v>0</v>
      </c>
    </row>
    <row r="193" spans="1:14" x14ac:dyDescent="0.25">
      <c r="A193" s="18"/>
      <c r="B193" s="5" t="s">
        <v>77</v>
      </c>
      <c r="C193" s="41">
        <v>85</v>
      </c>
      <c r="D193" s="30">
        <v>81</v>
      </c>
      <c r="E193" s="30"/>
      <c r="F193" s="38">
        <f t="shared" si="19"/>
        <v>0.95294117647058818</v>
      </c>
      <c r="G193" s="30">
        <v>24</v>
      </c>
      <c r="H193" s="30">
        <v>24</v>
      </c>
      <c r="I193" s="30">
        <v>12</v>
      </c>
      <c r="J193" s="53">
        <v>0</v>
      </c>
      <c r="K193" s="53">
        <v>0</v>
      </c>
      <c r="L193" s="53">
        <v>0</v>
      </c>
      <c r="M193" s="53">
        <v>0</v>
      </c>
      <c r="N193" s="32">
        <v>3</v>
      </c>
    </row>
    <row r="194" spans="1:14" x14ac:dyDescent="0.25">
      <c r="A194" s="18"/>
      <c r="B194" s="5" t="s">
        <v>78</v>
      </c>
      <c r="C194" s="41">
        <v>101</v>
      </c>
      <c r="D194" s="30">
        <v>98</v>
      </c>
      <c r="E194" s="30"/>
      <c r="F194" s="38">
        <f t="shared" si="19"/>
        <v>0.97029702970297027</v>
      </c>
      <c r="G194" s="30">
        <v>24</v>
      </c>
      <c r="H194" s="30">
        <v>24</v>
      </c>
      <c r="I194" s="30">
        <v>12</v>
      </c>
      <c r="J194" s="53">
        <v>0</v>
      </c>
      <c r="K194" s="53">
        <v>0</v>
      </c>
      <c r="L194" s="53">
        <v>0</v>
      </c>
      <c r="M194" s="53">
        <v>0</v>
      </c>
      <c r="N194" s="32">
        <v>3</v>
      </c>
    </row>
    <row r="195" spans="1:14" x14ac:dyDescent="0.25">
      <c r="A195" s="18"/>
      <c r="B195" s="5" t="s">
        <v>20</v>
      </c>
      <c r="C195" s="41">
        <v>37</v>
      </c>
      <c r="D195" s="30">
        <v>37</v>
      </c>
      <c r="E195" s="30"/>
      <c r="F195" s="38">
        <f t="shared" si="19"/>
        <v>1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  <c r="N195" s="32">
        <v>4</v>
      </c>
    </row>
    <row r="196" spans="1:14" x14ac:dyDescent="0.25">
      <c r="A196" s="18"/>
      <c r="B196" s="5" t="s">
        <v>22</v>
      </c>
      <c r="C196" s="41">
        <v>25</v>
      </c>
      <c r="D196" s="30">
        <v>25</v>
      </c>
      <c r="E196" s="30"/>
      <c r="F196" s="38">
        <f t="shared" si="19"/>
        <v>1</v>
      </c>
      <c r="G196" s="30">
        <v>6</v>
      </c>
      <c r="H196" s="30">
        <v>6</v>
      </c>
      <c r="I196" s="30">
        <v>3</v>
      </c>
      <c r="J196" s="53">
        <v>0</v>
      </c>
      <c r="K196" s="53">
        <v>0</v>
      </c>
      <c r="L196" s="53">
        <v>0</v>
      </c>
      <c r="M196" s="53">
        <v>0</v>
      </c>
      <c r="N196" s="56">
        <v>0</v>
      </c>
    </row>
    <row r="197" spans="1:14" x14ac:dyDescent="0.25">
      <c r="A197" s="18"/>
      <c r="B197" s="5" t="s">
        <v>79</v>
      </c>
      <c r="C197" s="41">
        <v>19</v>
      </c>
      <c r="D197" s="30">
        <v>19</v>
      </c>
      <c r="E197" s="30"/>
      <c r="F197" s="38">
        <f t="shared" si="19"/>
        <v>1</v>
      </c>
      <c r="G197" s="30">
        <v>4</v>
      </c>
      <c r="H197" s="30">
        <v>4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  <c r="N197" s="56">
        <v>0</v>
      </c>
    </row>
    <row r="198" spans="1:14" ht="31.5" x14ac:dyDescent="0.25">
      <c r="A198" s="18"/>
      <c r="B198" s="5" t="s">
        <v>80</v>
      </c>
      <c r="C198" s="41">
        <v>75</v>
      </c>
      <c r="D198" s="30">
        <v>73</v>
      </c>
      <c r="E198" s="30"/>
      <c r="F198" s="38">
        <f t="shared" si="19"/>
        <v>0.97333333333333338</v>
      </c>
      <c r="G198" s="30">
        <v>24</v>
      </c>
      <c r="H198" s="30">
        <v>24</v>
      </c>
      <c r="I198" s="30">
        <v>12</v>
      </c>
      <c r="J198" s="53">
        <v>0</v>
      </c>
      <c r="K198" s="53">
        <v>0</v>
      </c>
      <c r="L198" s="53">
        <v>0</v>
      </c>
      <c r="M198" s="53">
        <v>0</v>
      </c>
      <c r="N198" s="32">
        <v>3</v>
      </c>
    </row>
    <row r="199" spans="1:14" x14ac:dyDescent="0.25">
      <c r="A199" s="76"/>
      <c r="B199" s="11" t="s">
        <v>32</v>
      </c>
      <c r="C199" s="80">
        <v>3</v>
      </c>
      <c r="D199" s="81">
        <v>2</v>
      </c>
      <c r="E199" s="81"/>
      <c r="F199" s="38">
        <f t="shared" si="19"/>
        <v>0.66666666666666663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  <c r="N199" s="56">
        <v>0</v>
      </c>
    </row>
    <row r="200" spans="1:14" ht="16.5" thickBot="1" x14ac:dyDescent="0.3">
      <c r="A200" s="24" t="s">
        <v>33</v>
      </c>
      <c r="B200" s="15"/>
      <c r="C200" s="42">
        <f>SUM(C191:C199)</f>
        <v>363</v>
      </c>
      <c r="D200" s="33">
        <f>SUM(D191:D199)</f>
        <v>346</v>
      </c>
      <c r="E200" s="33"/>
      <c r="F200" s="39">
        <f t="shared" si="19"/>
        <v>0.95316804407713496</v>
      </c>
      <c r="G200" s="33">
        <f>SUM(G191:G199)</f>
        <v>82</v>
      </c>
      <c r="H200" s="33">
        <f t="shared" ref="H200:N200" si="20">SUM(H191:H199)</f>
        <v>82</v>
      </c>
      <c r="I200" s="33">
        <f t="shared" si="20"/>
        <v>39</v>
      </c>
      <c r="J200" s="33">
        <f t="shared" si="20"/>
        <v>0</v>
      </c>
      <c r="K200" s="33">
        <f t="shared" si="20"/>
        <v>0</v>
      </c>
      <c r="L200" s="33">
        <f t="shared" si="20"/>
        <v>0</v>
      </c>
      <c r="M200" s="33">
        <f t="shared" si="20"/>
        <v>0</v>
      </c>
      <c r="N200" s="35">
        <f t="shared" si="20"/>
        <v>13</v>
      </c>
    </row>
    <row r="201" spans="1:14" ht="32.25" thickTop="1" x14ac:dyDescent="0.25">
      <c r="A201" s="17" t="s">
        <v>81</v>
      </c>
      <c r="B201" s="8" t="s">
        <v>14</v>
      </c>
      <c r="C201" s="40">
        <v>7</v>
      </c>
      <c r="D201" s="64">
        <v>3</v>
      </c>
      <c r="E201" s="64"/>
      <c r="F201" s="37">
        <f>D201/C201</f>
        <v>0.42857142857142855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9">
        <v>0</v>
      </c>
    </row>
    <row r="202" spans="1:14" x14ac:dyDescent="0.25">
      <c r="A202" s="18"/>
      <c r="B202" s="5" t="s">
        <v>15</v>
      </c>
      <c r="C202" s="41">
        <v>13</v>
      </c>
      <c r="D202" s="65">
        <v>8</v>
      </c>
      <c r="E202" s="120"/>
      <c r="F202" s="66">
        <f t="shared" ref="F202:F212" si="21">D202/C202</f>
        <v>0.61538461538461542</v>
      </c>
      <c r="G202" s="30">
        <v>0</v>
      </c>
      <c r="H202" s="67">
        <v>0</v>
      </c>
      <c r="I202" s="67">
        <v>0</v>
      </c>
      <c r="J202" s="67">
        <v>0</v>
      </c>
      <c r="K202" s="30">
        <v>0</v>
      </c>
      <c r="L202" s="30">
        <v>0</v>
      </c>
      <c r="M202" s="67">
        <v>0</v>
      </c>
      <c r="N202" s="32">
        <v>0</v>
      </c>
    </row>
    <row r="203" spans="1:14" x14ac:dyDescent="0.25">
      <c r="A203" s="18"/>
      <c r="B203" s="5" t="s">
        <v>82</v>
      </c>
      <c r="C203" s="41">
        <v>46</v>
      </c>
      <c r="D203" s="65">
        <v>42</v>
      </c>
      <c r="E203" s="120"/>
      <c r="F203" s="66">
        <f t="shared" si="21"/>
        <v>0.91304347826086951</v>
      </c>
      <c r="G203" s="30">
        <v>4</v>
      </c>
      <c r="H203" s="68">
        <v>4</v>
      </c>
      <c r="I203" s="30">
        <v>0</v>
      </c>
      <c r="J203" s="30">
        <v>4</v>
      </c>
      <c r="K203" s="30">
        <v>0</v>
      </c>
      <c r="L203" s="30">
        <v>0</v>
      </c>
      <c r="M203" s="30">
        <v>1</v>
      </c>
      <c r="N203" s="32">
        <v>0</v>
      </c>
    </row>
    <row r="204" spans="1:14" x14ac:dyDescent="0.25">
      <c r="A204" s="18"/>
      <c r="B204" s="5" t="s">
        <v>83</v>
      </c>
      <c r="C204" s="41">
        <v>36</v>
      </c>
      <c r="D204" s="65">
        <v>35</v>
      </c>
      <c r="E204" s="120"/>
      <c r="F204" s="66">
        <f t="shared" si="21"/>
        <v>0.97222222222222221</v>
      </c>
      <c r="G204" s="30">
        <v>3</v>
      </c>
      <c r="H204" s="68">
        <v>3</v>
      </c>
      <c r="I204" s="30">
        <v>3</v>
      </c>
      <c r="J204" s="30">
        <v>0</v>
      </c>
      <c r="K204" s="30">
        <v>0</v>
      </c>
      <c r="L204" s="30">
        <v>0</v>
      </c>
      <c r="M204" s="30">
        <v>5</v>
      </c>
      <c r="N204" s="32">
        <v>0</v>
      </c>
    </row>
    <row r="205" spans="1:14" x14ac:dyDescent="0.25">
      <c r="A205" s="18"/>
      <c r="B205" s="5" t="s">
        <v>19</v>
      </c>
      <c r="C205" s="41">
        <v>14</v>
      </c>
      <c r="D205" s="65">
        <v>5</v>
      </c>
      <c r="E205" s="120"/>
      <c r="F205" s="66">
        <f t="shared" si="21"/>
        <v>0.35714285714285715</v>
      </c>
      <c r="G205" s="30">
        <v>0</v>
      </c>
      <c r="H205" s="67">
        <v>0</v>
      </c>
      <c r="I205" s="67">
        <v>0</v>
      </c>
      <c r="J205" s="67">
        <v>0</v>
      </c>
      <c r="K205" s="30">
        <v>0</v>
      </c>
      <c r="L205" s="30">
        <v>0</v>
      </c>
      <c r="M205" s="67">
        <v>0</v>
      </c>
      <c r="N205" s="32">
        <v>0</v>
      </c>
    </row>
    <row r="206" spans="1:14" x14ac:dyDescent="0.25">
      <c r="A206" s="18"/>
      <c r="B206" s="5" t="s">
        <v>20</v>
      </c>
      <c r="C206" s="41">
        <v>22</v>
      </c>
      <c r="D206" s="65">
        <v>16</v>
      </c>
      <c r="E206" s="120"/>
      <c r="F206" s="66">
        <f t="shared" si="21"/>
        <v>0.72727272727272729</v>
      </c>
      <c r="G206" s="30">
        <v>0</v>
      </c>
      <c r="H206" s="67">
        <v>0</v>
      </c>
      <c r="I206" s="67">
        <v>0</v>
      </c>
      <c r="J206" s="67">
        <v>0</v>
      </c>
      <c r="K206" s="30">
        <v>0</v>
      </c>
      <c r="L206" s="30">
        <v>0</v>
      </c>
      <c r="M206" s="67">
        <v>0</v>
      </c>
      <c r="N206" s="32">
        <v>0</v>
      </c>
    </row>
    <row r="207" spans="1:14" x14ac:dyDescent="0.25">
      <c r="A207" s="18"/>
      <c r="B207" s="5" t="s">
        <v>22</v>
      </c>
      <c r="C207" s="41">
        <v>18</v>
      </c>
      <c r="D207" s="65">
        <v>15</v>
      </c>
      <c r="E207" s="120"/>
      <c r="F207" s="66">
        <f t="shared" si="21"/>
        <v>0.83333333333333337</v>
      </c>
      <c r="G207" s="30">
        <v>0</v>
      </c>
      <c r="H207" s="67">
        <v>0</v>
      </c>
      <c r="I207" s="67">
        <v>0</v>
      </c>
      <c r="J207" s="67">
        <v>0</v>
      </c>
      <c r="K207" s="30">
        <v>0</v>
      </c>
      <c r="L207" s="30">
        <v>0</v>
      </c>
      <c r="M207" s="67">
        <v>0</v>
      </c>
      <c r="N207" s="32">
        <v>0</v>
      </c>
    </row>
    <row r="208" spans="1:14" x14ac:dyDescent="0.25">
      <c r="A208" s="18"/>
      <c r="B208" s="5" t="s">
        <v>23</v>
      </c>
      <c r="C208" s="41">
        <v>12</v>
      </c>
      <c r="D208" s="65">
        <v>7</v>
      </c>
      <c r="E208" s="120"/>
      <c r="F208" s="66">
        <f t="shared" si="21"/>
        <v>0.58333333333333337</v>
      </c>
      <c r="G208" s="30">
        <v>0</v>
      </c>
      <c r="H208" s="67">
        <v>0</v>
      </c>
      <c r="I208" s="67">
        <v>0</v>
      </c>
      <c r="J208" s="67">
        <v>0</v>
      </c>
      <c r="K208" s="30">
        <v>0</v>
      </c>
      <c r="L208" s="30">
        <v>0</v>
      </c>
      <c r="M208" s="30">
        <v>1</v>
      </c>
      <c r="N208" s="32">
        <v>0</v>
      </c>
    </row>
    <row r="209" spans="1:14" ht="31.5" x14ac:dyDescent="0.25">
      <c r="A209" s="18"/>
      <c r="B209" s="5" t="s">
        <v>84</v>
      </c>
      <c r="C209" s="30">
        <v>0</v>
      </c>
      <c r="D209" s="30">
        <v>0</v>
      </c>
      <c r="E209" s="30"/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2">
        <v>0</v>
      </c>
    </row>
    <row r="210" spans="1:14" x14ac:dyDescent="0.25">
      <c r="A210" s="18"/>
      <c r="B210" s="5" t="s">
        <v>27</v>
      </c>
      <c r="C210" s="41">
        <v>13</v>
      </c>
      <c r="D210" s="65">
        <v>2</v>
      </c>
      <c r="E210" s="120"/>
      <c r="F210" s="66">
        <f t="shared" si="21"/>
        <v>0.15384615384615385</v>
      </c>
      <c r="G210" s="30">
        <v>0</v>
      </c>
      <c r="H210" s="67">
        <v>0</v>
      </c>
      <c r="I210" s="67">
        <v>0</v>
      </c>
      <c r="J210" s="67">
        <v>0</v>
      </c>
      <c r="K210" s="30">
        <v>0</v>
      </c>
      <c r="L210" s="30">
        <v>0</v>
      </c>
      <c r="M210" s="30">
        <v>1</v>
      </c>
      <c r="N210" s="32">
        <v>0</v>
      </c>
    </row>
    <row r="211" spans="1:14" x14ac:dyDescent="0.25">
      <c r="A211" s="18"/>
      <c r="B211" s="5" t="s">
        <v>32</v>
      </c>
      <c r="C211" s="41">
        <v>3</v>
      </c>
      <c r="D211" s="65">
        <v>2</v>
      </c>
      <c r="E211" s="120"/>
      <c r="F211" s="66">
        <f t="shared" si="21"/>
        <v>0.66666666666666663</v>
      </c>
      <c r="G211" s="30">
        <v>0</v>
      </c>
      <c r="H211" s="67">
        <v>0</v>
      </c>
      <c r="I211" s="67">
        <v>0</v>
      </c>
      <c r="J211" s="67">
        <v>0</v>
      </c>
      <c r="K211" s="30">
        <v>0</v>
      </c>
      <c r="L211" s="30">
        <v>0</v>
      </c>
      <c r="M211" s="67">
        <v>0</v>
      </c>
      <c r="N211" s="32">
        <v>0</v>
      </c>
    </row>
    <row r="212" spans="1:14" ht="16.5" thickBot="1" x14ac:dyDescent="0.3">
      <c r="A212" s="24" t="s">
        <v>33</v>
      </c>
      <c r="B212" s="15"/>
      <c r="C212" s="42">
        <v>184</v>
      </c>
      <c r="D212" s="69">
        <f>SUM(D201:D211)</f>
        <v>135</v>
      </c>
      <c r="E212" s="121"/>
      <c r="F212" s="115">
        <f t="shared" si="21"/>
        <v>0.73369565217391308</v>
      </c>
      <c r="G212" s="33">
        <f>SUM(G201:G211)</f>
        <v>7</v>
      </c>
      <c r="H212" s="33">
        <f t="shared" ref="H212:N212" si="22">SUM(H201:H211)</f>
        <v>7</v>
      </c>
      <c r="I212" s="33">
        <f t="shared" si="22"/>
        <v>3</v>
      </c>
      <c r="J212" s="33">
        <f t="shared" si="22"/>
        <v>4</v>
      </c>
      <c r="K212" s="33">
        <f t="shared" si="22"/>
        <v>0</v>
      </c>
      <c r="L212" s="33">
        <f t="shared" si="22"/>
        <v>0</v>
      </c>
      <c r="M212" s="33">
        <f t="shared" si="22"/>
        <v>8</v>
      </c>
      <c r="N212" s="35">
        <f t="shared" si="22"/>
        <v>0</v>
      </c>
    </row>
    <row r="213" spans="1:14" ht="16.5" thickTop="1" x14ac:dyDescent="0.25">
      <c r="A213" s="36" t="s">
        <v>85</v>
      </c>
      <c r="B213" s="8" t="s">
        <v>93</v>
      </c>
      <c r="C213" s="40">
        <v>8</v>
      </c>
      <c r="D213" s="27">
        <v>5</v>
      </c>
      <c r="E213" s="27"/>
      <c r="F213" s="37">
        <f>D213/C213</f>
        <v>0.625</v>
      </c>
      <c r="G213" s="27">
        <v>1</v>
      </c>
      <c r="H213" s="27">
        <v>0</v>
      </c>
      <c r="I213" s="27">
        <v>0</v>
      </c>
      <c r="J213" s="27">
        <v>0</v>
      </c>
      <c r="K213" s="27">
        <v>0</v>
      </c>
      <c r="L213" s="27">
        <v>0</v>
      </c>
      <c r="M213" s="27">
        <v>0</v>
      </c>
      <c r="N213" s="29">
        <v>0</v>
      </c>
    </row>
    <row r="214" spans="1:14" x14ac:dyDescent="0.25">
      <c r="A214" s="18"/>
      <c r="B214" s="5" t="s">
        <v>86</v>
      </c>
      <c r="C214" s="41">
        <v>5</v>
      </c>
      <c r="D214" s="30">
        <v>5</v>
      </c>
      <c r="E214" s="30"/>
      <c r="F214" s="38">
        <f>D214/C214</f>
        <v>1</v>
      </c>
      <c r="G214" s="30">
        <v>3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2">
        <v>0</v>
      </c>
    </row>
    <row r="215" spans="1:14" ht="31.5" x14ac:dyDescent="0.25">
      <c r="A215" s="18"/>
      <c r="B215" s="5" t="s">
        <v>87</v>
      </c>
      <c r="C215" s="41">
        <v>20</v>
      </c>
      <c r="D215" s="30">
        <v>18</v>
      </c>
      <c r="E215" s="30"/>
      <c r="F215" s="38">
        <f t="shared" ref="F215:F221" si="23">D215/C215</f>
        <v>0.9</v>
      </c>
      <c r="G215" s="30">
        <v>11</v>
      </c>
      <c r="H215" s="30">
        <v>2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2">
        <v>0</v>
      </c>
    </row>
    <row r="216" spans="1:14" ht="31.5" x14ac:dyDescent="0.25">
      <c r="A216" s="18"/>
      <c r="B216" s="5" t="s">
        <v>88</v>
      </c>
      <c r="C216" s="41">
        <v>20</v>
      </c>
      <c r="D216" s="30">
        <v>19</v>
      </c>
      <c r="E216" s="30"/>
      <c r="F216" s="38">
        <f t="shared" si="23"/>
        <v>0.95</v>
      </c>
      <c r="G216" s="30">
        <v>14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2">
        <v>0</v>
      </c>
    </row>
    <row r="217" spans="1:14" ht="31.5" x14ac:dyDescent="0.25">
      <c r="A217" s="18"/>
      <c r="B217" s="5" t="s">
        <v>89</v>
      </c>
      <c r="C217" s="41">
        <v>20</v>
      </c>
      <c r="D217" s="30">
        <v>19</v>
      </c>
      <c r="E217" s="30"/>
      <c r="F217" s="38">
        <f t="shared" si="23"/>
        <v>0.95</v>
      </c>
      <c r="G217" s="30">
        <v>11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2">
        <v>0</v>
      </c>
    </row>
    <row r="218" spans="1:14" ht="31.5" x14ac:dyDescent="0.25">
      <c r="A218" s="18"/>
      <c r="B218" s="5" t="s">
        <v>90</v>
      </c>
      <c r="C218" s="41">
        <v>20</v>
      </c>
      <c r="D218" s="30">
        <v>19</v>
      </c>
      <c r="E218" s="30"/>
      <c r="F218" s="38">
        <f t="shared" si="23"/>
        <v>0.95</v>
      </c>
      <c r="G218" s="30">
        <v>13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2">
        <v>0</v>
      </c>
    </row>
    <row r="219" spans="1:14" ht="31.5" x14ac:dyDescent="0.25">
      <c r="A219" s="18"/>
      <c r="B219" s="5" t="s">
        <v>91</v>
      </c>
      <c r="C219" s="41">
        <v>26</v>
      </c>
      <c r="D219" s="30">
        <v>24</v>
      </c>
      <c r="E219" s="30"/>
      <c r="F219" s="38">
        <f t="shared" si="23"/>
        <v>0.92307692307692313</v>
      </c>
      <c r="G219" s="30">
        <v>10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2">
        <v>0</v>
      </c>
    </row>
    <row r="220" spans="1:14" x14ac:dyDescent="0.25">
      <c r="A220" s="18"/>
      <c r="B220" s="5" t="s">
        <v>92</v>
      </c>
      <c r="C220" s="41">
        <v>3</v>
      </c>
      <c r="D220" s="30">
        <v>3</v>
      </c>
      <c r="E220" s="30"/>
      <c r="F220" s="38">
        <f t="shared" si="23"/>
        <v>1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2">
        <v>0</v>
      </c>
    </row>
    <row r="221" spans="1:14" ht="16.5" thickBot="1" x14ac:dyDescent="0.3">
      <c r="A221" s="24" t="s">
        <v>33</v>
      </c>
      <c r="B221" s="15"/>
      <c r="C221" s="42">
        <f>SUM(C213:C220)</f>
        <v>122</v>
      </c>
      <c r="D221" s="33">
        <f>SUM(D213:D220)</f>
        <v>112</v>
      </c>
      <c r="E221" s="33"/>
      <c r="F221" s="39">
        <f t="shared" si="23"/>
        <v>0.91803278688524592</v>
      </c>
      <c r="G221" s="33">
        <f>SUM(G213:G220)</f>
        <v>64</v>
      </c>
      <c r="H221" s="33">
        <f t="shared" ref="H221:N221" si="24">SUM(H213:H220)</f>
        <v>2</v>
      </c>
      <c r="I221" s="33">
        <f t="shared" si="24"/>
        <v>0</v>
      </c>
      <c r="J221" s="33">
        <f t="shared" si="24"/>
        <v>0</v>
      </c>
      <c r="K221" s="33">
        <f t="shared" si="24"/>
        <v>0</v>
      </c>
      <c r="L221" s="33">
        <f t="shared" si="24"/>
        <v>0</v>
      </c>
      <c r="M221" s="33">
        <f t="shared" si="24"/>
        <v>0</v>
      </c>
      <c r="N221" s="35">
        <f t="shared" si="24"/>
        <v>0</v>
      </c>
    </row>
    <row r="222" spans="1:14" ht="16.5" thickTop="1" x14ac:dyDescent="0.25">
      <c r="A222" s="36" t="s">
        <v>94</v>
      </c>
      <c r="B222" s="86" t="s">
        <v>106</v>
      </c>
      <c r="C222" s="43">
        <v>7</v>
      </c>
      <c r="D222" s="43">
        <v>3</v>
      </c>
      <c r="E222" s="43"/>
      <c r="F222" s="87">
        <f>D222/C222*100%</f>
        <v>0.42857142857142855</v>
      </c>
      <c r="G222" s="27">
        <v>0</v>
      </c>
      <c r="H222" s="27">
        <v>0</v>
      </c>
      <c r="I222" s="27">
        <v>0</v>
      </c>
      <c r="J222" s="27">
        <v>0</v>
      </c>
      <c r="K222" s="27">
        <v>0</v>
      </c>
      <c r="L222" s="27">
        <v>0</v>
      </c>
      <c r="M222" s="27">
        <v>0</v>
      </c>
      <c r="N222" s="29">
        <v>0</v>
      </c>
    </row>
    <row r="223" spans="1:14" x14ac:dyDescent="0.25">
      <c r="A223" s="18"/>
      <c r="B223" s="83" t="s">
        <v>15</v>
      </c>
      <c r="C223" s="44">
        <v>33</v>
      </c>
      <c r="D223" s="44">
        <v>23</v>
      </c>
      <c r="E223" s="44"/>
      <c r="F223" s="88">
        <f t="shared" ref="F223:F245" si="25">D223/C223*100%</f>
        <v>0.69696969696969702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2">
        <v>0</v>
      </c>
    </row>
    <row r="224" spans="1:14" x14ac:dyDescent="0.25">
      <c r="A224" s="18"/>
      <c r="B224" s="83" t="s">
        <v>70</v>
      </c>
      <c r="C224" s="44">
        <v>20</v>
      </c>
      <c r="D224" s="44">
        <v>14</v>
      </c>
      <c r="E224" s="44"/>
      <c r="F224" s="88">
        <f t="shared" si="25"/>
        <v>0.7</v>
      </c>
      <c r="G224" s="30">
        <v>0</v>
      </c>
      <c r="H224" s="30">
        <v>0</v>
      </c>
      <c r="I224" s="44">
        <v>1</v>
      </c>
      <c r="J224" s="30">
        <v>0</v>
      </c>
      <c r="K224" s="30">
        <v>0</v>
      </c>
      <c r="L224" s="30">
        <v>0</v>
      </c>
      <c r="M224" s="30">
        <v>0</v>
      </c>
      <c r="N224" s="32">
        <v>0</v>
      </c>
    </row>
    <row r="225" spans="1:14" x14ac:dyDescent="0.25">
      <c r="A225" s="18"/>
      <c r="B225" s="83" t="s">
        <v>107</v>
      </c>
      <c r="C225" s="44">
        <v>2</v>
      </c>
      <c r="D225" s="44">
        <v>1</v>
      </c>
      <c r="E225" s="44"/>
      <c r="F225" s="88">
        <f t="shared" si="25"/>
        <v>0.5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2">
        <v>0</v>
      </c>
    </row>
    <row r="226" spans="1:14" ht="30" x14ac:dyDescent="0.25">
      <c r="A226" s="18"/>
      <c r="B226" s="83" t="s">
        <v>108</v>
      </c>
      <c r="C226" s="44">
        <v>3</v>
      </c>
      <c r="D226" s="44">
        <v>2</v>
      </c>
      <c r="E226" s="44"/>
      <c r="F226" s="88">
        <f t="shared" si="25"/>
        <v>0.66666666666666663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2">
        <v>0</v>
      </c>
    </row>
    <row r="227" spans="1:14" ht="30" x14ac:dyDescent="0.25">
      <c r="A227" s="18"/>
      <c r="B227" s="83" t="s">
        <v>109</v>
      </c>
      <c r="C227" s="44">
        <v>2</v>
      </c>
      <c r="D227" s="44">
        <v>1</v>
      </c>
      <c r="E227" s="44"/>
      <c r="F227" s="88">
        <f t="shared" si="25"/>
        <v>0.5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2">
        <v>0</v>
      </c>
    </row>
    <row r="228" spans="1:14" x14ac:dyDescent="0.25">
      <c r="A228" s="18"/>
      <c r="B228" s="83" t="s">
        <v>110</v>
      </c>
      <c r="C228" s="44">
        <v>4</v>
      </c>
      <c r="D228" s="44">
        <v>2</v>
      </c>
      <c r="E228" s="44"/>
      <c r="F228" s="88">
        <f t="shared" si="25"/>
        <v>0.5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2">
        <v>0</v>
      </c>
    </row>
    <row r="229" spans="1:14" x14ac:dyDescent="0.25">
      <c r="A229" s="18"/>
      <c r="B229" s="83" t="s">
        <v>111</v>
      </c>
      <c r="C229" s="44">
        <v>1</v>
      </c>
      <c r="D229" s="44">
        <v>1</v>
      </c>
      <c r="E229" s="44"/>
      <c r="F229" s="88">
        <f t="shared" si="25"/>
        <v>1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2">
        <v>0</v>
      </c>
    </row>
    <row r="230" spans="1:14" ht="30" x14ac:dyDescent="0.25">
      <c r="A230" s="18"/>
      <c r="B230" s="83" t="s">
        <v>112</v>
      </c>
      <c r="C230" s="44">
        <v>9</v>
      </c>
      <c r="D230" s="44">
        <v>9</v>
      </c>
      <c r="E230" s="44"/>
      <c r="F230" s="88">
        <f t="shared" si="25"/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2">
        <v>0</v>
      </c>
    </row>
    <row r="231" spans="1:14" x14ac:dyDescent="0.25">
      <c r="A231" s="18"/>
      <c r="B231" s="83" t="s">
        <v>113</v>
      </c>
      <c r="C231" s="44">
        <v>11</v>
      </c>
      <c r="D231" s="44">
        <v>5</v>
      </c>
      <c r="E231" s="44"/>
      <c r="F231" s="88">
        <f t="shared" si="25"/>
        <v>0.45454545454545453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2">
        <v>0</v>
      </c>
    </row>
    <row r="232" spans="1:14" x14ac:dyDescent="0.25">
      <c r="A232" s="18"/>
      <c r="B232" s="83" t="s">
        <v>114</v>
      </c>
      <c r="C232" s="44">
        <v>8</v>
      </c>
      <c r="D232" s="44">
        <v>7</v>
      </c>
      <c r="E232" s="44"/>
      <c r="F232" s="88">
        <f t="shared" si="25"/>
        <v>0.875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2">
        <v>0</v>
      </c>
    </row>
    <row r="233" spans="1:14" ht="30" x14ac:dyDescent="0.25">
      <c r="A233" s="18"/>
      <c r="B233" s="83" t="s">
        <v>30</v>
      </c>
      <c r="C233" s="44">
        <v>74</v>
      </c>
      <c r="D233" s="44">
        <v>67</v>
      </c>
      <c r="E233" s="44"/>
      <c r="F233" s="88">
        <f t="shared" si="25"/>
        <v>0.90540540540540537</v>
      </c>
      <c r="G233" s="44">
        <v>8</v>
      </c>
      <c r="H233" s="30">
        <v>0</v>
      </c>
      <c r="I233" s="44">
        <v>14</v>
      </c>
      <c r="J233" s="30">
        <v>0</v>
      </c>
      <c r="K233" s="30">
        <v>0</v>
      </c>
      <c r="L233" s="30">
        <v>0</v>
      </c>
      <c r="M233" s="44">
        <v>1</v>
      </c>
      <c r="N233" s="32">
        <v>0</v>
      </c>
    </row>
    <row r="234" spans="1:14" ht="30" x14ac:dyDescent="0.25">
      <c r="A234" s="18"/>
      <c r="B234" s="83" t="s">
        <v>115</v>
      </c>
      <c r="C234" s="44">
        <v>127</v>
      </c>
      <c r="D234" s="44">
        <v>98</v>
      </c>
      <c r="E234" s="44"/>
      <c r="F234" s="88">
        <f t="shared" si="25"/>
        <v>0.77165354330708658</v>
      </c>
      <c r="G234" s="44">
        <v>19</v>
      </c>
      <c r="H234" s="30">
        <v>0</v>
      </c>
      <c r="I234" s="44">
        <v>33</v>
      </c>
      <c r="J234" s="30">
        <v>0</v>
      </c>
      <c r="K234" s="30">
        <v>0</v>
      </c>
      <c r="L234" s="30">
        <v>0</v>
      </c>
      <c r="M234" s="30">
        <v>0</v>
      </c>
      <c r="N234" s="32">
        <v>0</v>
      </c>
    </row>
    <row r="235" spans="1:14" ht="30" x14ac:dyDescent="0.25">
      <c r="A235" s="18"/>
      <c r="B235" s="83" t="s">
        <v>66</v>
      </c>
      <c r="C235" s="44">
        <v>88</v>
      </c>
      <c r="D235" s="44">
        <v>81</v>
      </c>
      <c r="E235" s="44"/>
      <c r="F235" s="88">
        <f t="shared" si="25"/>
        <v>0.92045454545454541</v>
      </c>
      <c r="G235" s="44">
        <v>9</v>
      </c>
      <c r="H235" s="30">
        <v>0</v>
      </c>
      <c r="I235" s="44">
        <v>21</v>
      </c>
      <c r="J235" s="30">
        <v>0</v>
      </c>
      <c r="K235" s="30">
        <v>0</v>
      </c>
      <c r="L235" s="30">
        <v>0</v>
      </c>
      <c r="M235" s="30">
        <v>0</v>
      </c>
      <c r="N235" s="32">
        <v>0</v>
      </c>
    </row>
    <row r="236" spans="1:14" ht="30" x14ac:dyDescent="0.25">
      <c r="A236" s="18"/>
      <c r="B236" s="83" t="s">
        <v>67</v>
      </c>
      <c r="C236" s="44">
        <v>88</v>
      </c>
      <c r="D236" s="44">
        <v>76</v>
      </c>
      <c r="E236" s="44"/>
      <c r="F236" s="88">
        <f t="shared" si="25"/>
        <v>0.86363636363636365</v>
      </c>
      <c r="G236" s="44">
        <v>15</v>
      </c>
      <c r="H236" s="30">
        <v>0</v>
      </c>
      <c r="I236" s="44">
        <v>21</v>
      </c>
      <c r="J236" s="30">
        <v>0</v>
      </c>
      <c r="K236" s="30">
        <v>0</v>
      </c>
      <c r="L236" s="30">
        <v>0</v>
      </c>
      <c r="M236" s="30">
        <v>0</v>
      </c>
      <c r="N236" s="32">
        <v>0</v>
      </c>
    </row>
    <row r="237" spans="1:14" ht="30" x14ac:dyDescent="0.25">
      <c r="A237" s="18"/>
      <c r="B237" s="83" t="s">
        <v>116</v>
      </c>
      <c r="C237" s="44">
        <v>88</v>
      </c>
      <c r="D237" s="44">
        <v>73</v>
      </c>
      <c r="E237" s="44"/>
      <c r="F237" s="88">
        <f t="shared" si="25"/>
        <v>0.82954545454545459</v>
      </c>
      <c r="G237" s="44">
        <v>10</v>
      </c>
      <c r="H237" s="30">
        <v>0</v>
      </c>
      <c r="I237" s="44">
        <v>26</v>
      </c>
      <c r="J237" s="30">
        <v>0</v>
      </c>
      <c r="K237" s="30">
        <v>0</v>
      </c>
      <c r="L237" s="30">
        <v>0</v>
      </c>
      <c r="M237" s="30">
        <v>0</v>
      </c>
      <c r="N237" s="32">
        <v>0</v>
      </c>
    </row>
    <row r="238" spans="1:14" ht="30" x14ac:dyDescent="0.25">
      <c r="A238" s="18"/>
      <c r="B238" s="83" t="s">
        <v>117</v>
      </c>
      <c r="C238" s="44">
        <v>88</v>
      </c>
      <c r="D238" s="44">
        <v>71</v>
      </c>
      <c r="E238" s="44"/>
      <c r="F238" s="88">
        <f t="shared" si="25"/>
        <v>0.80681818181818177</v>
      </c>
      <c r="G238" s="44">
        <v>13</v>
      </c>
      <c r="H238" s="30">
        <v>0</v>
      </c>
      <c r="I238" s="44">
        <v>17</v>
      </c>
      <c r="J238" s="30">
        <v>0</v>
      </c>
      <c r="K238" s="30">
        <v>0</v>
      </c>
      <c r="L238" s="30">
        <v>0</v>
      </c>
      <c r="M238" s="44">
        <v>1</v>
      </c>
      <c r="N238" s="32">
        <v>0</v>
      </c>
    </row>
    <row r="239" spans="1:14" ht="45" x14ac:dyDescent="0.25">
      <c r="A239" s="18"/>
      <c r="B239" s="84" t="s">
        <v>118</v>
      </c>
      <c r="C239" s="44">
        <v>38</v>
      </c>
      <c r="D239" s="44">
        <v>34</v>
      </c>
      <c r="E239" s="44"/>
      <c r="F239" s="88">
        <f t="shared" si="25"/>
        <v>0.89473684210526316</v>
      </c>
      <c r="G239" s="44">
        <v>2</v>
      </c>
      <c r="H239" s="30">
        <v>0</v>
      </c>
      <c r="I239" s="44">
        <v>4</v>
      </c>
      <c r="J239" s="30">
        <v>0</v>
      </c>
      <c r="K239" s="30">
        <v>0</v>
      </c>
      <c r="L239" s="30">
        <v>0</v>
      </c>
      <c r="M239" s="30">
        <v>0</v>
      </c>
      <c r="N239" s="32">
        <v>0</v>
      </c>
    </row>
    <row r="240" spans="1:14" x14ac:dyDescent="0.25">
      <c r="A240" s="18"/>
      <c r="B240" s="84" t="s">
        <v>68</v>
      </c>
      <c r="C240" s="44">
        <v>22</v>
      </c>
      <c r="D240" s="44">
        <v>17</v>
      </c>
      <c r="E240" s="44"/>
      <c r="F240" s="88">
        <f t="shared" si="25"/>
        <v>0.77272727272727271</v>
      </c>
      <c r="G240" s="30">
        <v>0</v>
      </c>
      <c r="H240" s="30">
        <v>0</v>
      </c>
      <c r="I240" s="44">
        <v>1</v>
      </c>
      <c r="J240" s="30">
        <v>0</v>
      </c>
      <c r="K240" s="30">
        <v>0</v>
      </c>
      <c r="L240" s="30">
        <v>0</v>
      </c>
      <c r="M240" s="30">
        <v>0</v>
      </c>
      <c r="N240" s="32">
        <v>0</v>
      </c>
    </row>
    <row r="241" spans="1:14" x14ac:dyDescent="0.25">
      <c r="A241" s="18"/>
      <c r="B241" s="85" t="s">
        <v>119</v>
      </c>
      <c r="C241" s="44">
        <v>16</v>
      </c>
      <c r="D241" s="44">
        <v>12</v>
      </c>
      <c r="E241" s="44"/>
      <c r="F241" s="88">
        <f t="shared" si="25"/>
        <v>0.75</v>
      </c>
      <c r="G241" s="30">
        <v>0</v>
      </c>
      <c r="H241" s="30">
        <v>0</v>
      </c>
      <c r="I241" s="44">
        <v>2</v>
      </c>
      <c r="J241" s="30">
        <v>0</v>
      </c>
      <c r="K241" s="30">
        <v>0</v>
      </c>
      <c r="L241" s="30">
        <v>0</v>
      </c>
      <c r="M241" s="30">
        <v>0</v>
      </c>
      <c r="N241" s="32">
        <v>0</v>
      </c>
    </row>
    <row r="242" spans="1:14" x14ac:dyDescent="0.25">
      <c r="A242" s="18"/>
      <c r="B242" s="84" t="s">
        <v>120</v>
      </c>
      <c r="C242" s="44">
        <v>15</v>
      </c>
      <c r="D242" s="44">
        <v>11</v>
      </c>
      <c r="E242" s="44"/>
      <c r="F242" s="88">
        <f t="shared" si="25"/>
        <v>0.73333333333333328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2">
        <v>0</v>
      </c>
    </row>
    <row r="243" spans="1:14" x14ac:dyDescent="0.25">
      <c r="A243" s="18"/>
      <c r="B243" s="84" t="s">
        <v>95</v>
      </c>
      <c r="C243" s="44">
        <v>23</v>
      </c>
      <c r="D243" s="44">
        <v>20</v>
      </c>
      <c r="E243" s="44"/>
      <c r="F243" s="88">
        <f t="shared" si="25"/>
        <v>0.86956521739130432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2">
        <v>0</v>
      </c>
    </row>
    <row r="244" spans="1:14" ht="30" x14ac:dyDescent="0.25">
      <c r="A244" s="18"/>
      <c r="B244" s="85" t="s">
        <v>59</v>
      </c>
      <c r="C244" s="44">
        <v>29</v>
      </c>
      <c r="D244" s="44">
        <v>27</v>
      </c>
      <c r="E244" s="44"/>
      <c r="F244" s="88">
        <f t="shared" si="25"/>
        <v>0.93103448275862066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2">
        <v>0</v>
      </c>
    </row>
    <row r="245" spans="1:14" ht="30" x14ac:dyDescent="0.25">
      <c r="A245" s="18"/>
      <c r="B245" s="84" t="s">
        <v>121</v>
      </c>
      <c r="C245" s="44">
        <v>35</v>
      </c>
      <c r="D245" s="44">
        <v>34</v>
      </c>
      <c r="E245" s="44"/>
      <c r="F245" s="88">
        <f t="shared" si="25"/>
        <v>0.97142857142857142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2">
        <v>0</v>
      </c>
    </row>
    <row r="246" spans="1:14" x14ac:dyDescent="0.25">
      <c r="A246" s="18"/>
      <c r="B246" s="84" t="s">
        <v>96</v>
      </c>
      <c r="C246" s="44">
        <v>1</v>
      </c>
      <c r="D246" s="44">
        <v>1</v>
      </c>
      <c r="E246" s="44"/>
      <c r="F246" s="88">
        <f>D246/C246*100%</f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2">
        <v>0</v>
      </c>
    </row>
    <row r="247" spans="1:14" x14ac:dyDescent="0.25">
      <c r="A247" s="18"/>
      <c r="B247" s="84" t="s">
        <v>32</v>
      </c>
      <c r="C247" s="44">
        <v>7</v>
      </c>
      <c r="D247" s="44">
        <v>6</v>
      </c>
      <c r="E247" s="44"/>
      <c r="F247" s="88">
        <f>D247/C247*100%</f>
        <v>0.8571428571428571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2">
        <v>0</v>
      </c>
    </row>
    <row r="248" spans="1:14" ht="16.5" thickBot="1" x14ac:dyDescent="0.3">
      <c r="A248" s="24" t="s">
        <v>33</v>
      </c>
      <c r="B248" s="22"/>
      <c r="C248" s="45">
        <f>SUM(C222:C247)</f>
        <v>839</v>
      </c>
      <c r="D248" s="45">
        <f>SUM(D222:D247)</f>
        <v>696</v>
      </c>
      <c r="E248" s="45"/>
      <c r="F248" s="89">
        <f>D248/C248*100%</f>
        <v>0.82955899880810491</v>
      </c>
      <c r="G248" s="45">
        <f t="shared" ref="G248:N248" si="26">SUM(G222:G247)</f>
        <v>76</v>
      </c>
      <c r="H248" s="45">
        <f t="shared" si="26"/>
        <v>0</v>
      </c>
      <c r="I248" s="45">
        <f t="shared" si="26"/>
        <v>140</v>
      </c>
      <c r="J248" s="45">
        <f t="shared" si="26"/>
        <v>0</v>
      </c>
      <c r="K248" s="45">
        <f t="shared" si="26"/>
        <v>0</v>
      </c>
      <c r="L248" s="45">
        <f t="shared" si="26"/>
        <v>0</v>
      </c>
      <c r="M248" s="45">
        <f t="shared" si="26"/>
        <v>2</v>
      </c>
      <c r="N248" s="90">
        <f t="shared" si="26"/>
        <v>0</v>
      </c>
    </row>
    <row r="249" spans="1:14" ht="63.75" thickTop="1" x14ac:dyDescent="0.25">
      <c r="A249" s="17" t="s">
        <v>97</v>
      </c>
      <c r="B249" s="8" t="s">
        <v>93</v>
      </c>
      <c r="C249" s="43">
        <v>5</v>
      </c>
      <c r="D249" s="27">
        <v>4</v>
      </c>
      <c r="E249" s="27"/>
      <c r="F249" s="28">
        <f>D249/C249</f>
        <v>0.8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0</v>
      </c>
      <c r="M249" s="27">
        <v>0</v>
      </c>
      <c r="N249" s="29">
        <v>0</v>
      </c>
    </row>
    <row r="250" spans="1:14" x14ac:dyDescent="0.25">
      <c r="A250" s="18"/>
      <c r="B250" s="5" t="s">
        <v>98</v>
      </c>
      <c r="C250" s="44">
        <v>3</v>
      </c>
      <c r="D250" s="30">
        <v>2</v>
      </c>
      <c r="E250" s="30"/>
      <c r="F250" s="31">
        <f t="shared" ref="F250:F260" si="27">D250/C250</f>
        <v>0.66666666666666663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2">
        <v>0</v>
      </c>
    </row>
    <row r="251" spans="1:14" x14ac:dyDescent="0.25">
      <c r="A251" s="18"/>
      <c r="B251" s="5" t="s">
        <v>99</v>
      </c>
      <c r="C251" s="44">
        <v>42</v>
      </c>
      <c r="D251" s="30">
        <v>42</v>
      </c>
      <c r="E251" s="30"/>
      <c r="F251" s="31">
        <f t="shared" si="27"/>
        <v>1</v>
      </c>
      <c r="G251" s="30">
        <v>2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2">
        <v>0</v>
      </c>
    </row>
    <row r="252" spans="1:14" x14ac:dyDescent="0.25">
      <c r="A252" s="18"/>
      <c r="B252" s="5" t="s">
        <v>100</v>
      </c>
      <c r="C252" s="44">
        <v>42</v>
      </c>
      <c r="D252" s="30">
        <v>40</v>
      </c>
      <c r="E252" s="30"/>
      <c r="F252" s="31">
        <f t="shared" si="27"/>
        <v>0.95238095238095233</v>
      </c>
      <c r="G252" s="30">
        <v>0</v>
      </c>
      <c r="H252" s="30">
        <v>0</v>
      </c>
      <c r="I252" s="30">
        <v>1</v>
      </c>
      <c r="J252" s="30">
        <v>0</v>
      </c>
      <c r="K252" s="30">
        <v>0</v>
      </c>
      <c r="L252" s="30">
        <v>0</v>
      </c>
      <c r="M252" s="30">
        <v>0</v>
      </c>
      <c r="N252" s="32">
        <v>0</v>
      </c>
    </row>
    <row r="253" spans="1:14" x14ac:dyDescent="0.25">
      <c r="A253" s="18"/>
      <c r="B253" s="5" t="s">
        <v>69</v>
      </c>
      <c r="C253" s="44">
        <v>34</v>
      </c>
      <c r="D253" s="30">
        <v>33</v>
      </c>
      <c r="E253" s="30"/>
      <c r="F253" s="31">
        <f t="shared" si="27"/>
        <v>0.97058823529411764</v>
      </c>
      <c r="G253" s="30">
        <v>0</v>
      </c>
      <c r="H253" s="30">
        <v>0</v>
      </c>
      <c r="I253" s="30">
        <v>8</v>
      </c>
      <c r="J253" s="30">
        <v>0</v>
      </c>
      <c r="K253" s="30">
        <v>0</v>
      </c>
      <c r="L253" s="30">
        <v>0</v>
      </c>
      <c r="M253" s="30">
        <v>0</v>
      </c>
      <c r="N253" s="32">
        <v>1</v>
      </c>
    </row>
    <row r="254" spans="1:14" ht="31.5" x14ac:dyDescent="0.25">
      <c r="A254" s="18"/>
      <c r="B254" s="5" t="s">
        <v>59</v>
      </c>
      <c r="C254" s="44">
        <v>14</v>
      </c>
      <c r="D254" s="30">
        <v>14</v>
      </c>
      <c r="E254" s="30"/>
      <c r="F254" s="31">
        <f t="shared" si="27"/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2">
        <v>0</v>
      </c>
    </row>
    <row r="255" spans="1:14" ht="15.4" customHeight="1" x14ac:dyDescent="0.25">
      <c r="A255" s="18"/>
      <c r="B255" s="5" t="s">
        <v>101</v>
      </c>
      <c r="C255" s="44">
        <v>3</v>
      </c>
      <c r="D255" s="30">
        <v>3</v>
      </c>
      <c r="E255" s="30"/>
      <c r="F255" s="31">
        <f t="shared" si="27"/>
        <v>1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2">
        <v>0</v>
      </c>
    </row>
    <row r="256" spans="1:14" ht="15.4" customHeight="1" x14ac:dyDescent="0.25">
      <c r="A256" s="18"/>
      <c r="B256" s="5" t="s">
        <v>102</v>
      </c>
      <c r="C256" s="44">
        <v>5</v>
      </c>
      <c r="D256" s="30">
        <v>5</v>
      </c>
      <c r="E256" s="30"/>
      <c r="F256" s="31">
        <f t="shared" si="27"/>
        <v>1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2">
        <v>0</v>
      </c>
    </row>
    <row r="257" spans="1:14" x14ac:dyDescent="0.25">
      <c r="A257" s="18"/>
      <c r="B257" s="5" t="s">
        <v>103</v>
      </c>
      <c r="C257" s="44">
        <v>8</v>
      </c>
      <c r="D257" s="30">
        <v>8</v>
      </c>
      <c r="E257" s="30"/>
      <c r="F257" s="31">
        <f t="shared" si="27"/>
        <v>1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2">
        <v>0</v>
      </c>
    </row>
    <row r="258" spans="1:14" ht="31.5" x14ac:dyDescent="0.25">
      <c r="A258" s="18"/>
      <c r="B258" s="5" t="s">
        <v>104</v>
      </c>
      <c r="C258" s="44">
        <v>19</v>
      </c>
      <c r="D258" s="30">
        <v>17</v>
      </c>
      <c r="E258" s="30"/>
      <c r="F258" s="31">
        <f t="shared" si="27"/>
        <v>0.89473684210526316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2">
        <v>0</v>
      </c>
    </row>
    <row r="259" spans="1:14" x14ac:dyDescent="0.25">
      <c r="A259" s="18"/>
      <c r="B259" s="5" t="s">
        <v>32</v>
      </c>
      <c r="C259" s="44">
        <v>3</v>
      </c>
      <c r="D259" s="30">
        <v>1</v>
      </c>
      <c r="E259" s="30"/>
      <c r="F259" s="31">
        <f t="shared" si="27"/>
        <v>0.33333333333333331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2">
        <v>0</v>
      </c>
    </row>
    <row r="260" spans="1:14" ht="16.5" thickBot="1" x14ac:dyDescent="0.3">
      <c r="A260" s="24" t="s">
        <v>33</v>
      </c>
      <c r="B260" s="15"/>
      <c r="C260" s="45">
        <f>SUM(C249:C259)</f>
        <v>178</v>
      </c>
      <c r="D260" s="33">
        <f>SUM(D249:D259)</f>
        <v>169</v>
      </c>
      <c r="E260" s="33"/>
      <c r="F260" s="34">
        <f t="shared" si="27"/>
        <v>0.949438202247191</v>
      </c>
      <c r="G260" s="33">
        <f>SUM(G249:G259)</f>
        <v>2</v>
      </c>
      <c r="H260" s="33">
        <f>SUM(H249:H259)</f>
        <v>0</v>
      </c>
      <c r="I260" s="33">
        <f t="shared" ref="I260:N260" si="28">SUM(I249:I259)</f>
        <v>9</v>
      </c>
      <c r="J260" s="33">
        <f t="shared" si="28"/>
        <v>0</v>
      </c>
      <c r="K260" s="33">
        <f t="shared" si="28"/>
        <v>0</v>
      </c>
      <c r="L260" s="33">
        <f t="shared" si="28"/>
        <v>0</v>
      </c>
      <c r="M260" s="33">
        <f t="shared" si="28"/>
        <v>0</v>
      </c>
      <c r="N260" s="35">
        <f t="shared" si="28"/>
        <v>1</v>
      </c>
    </row>
    <row r="261" spans="1:14" ht="16.5" thickTop="1" x14ac:dyDescent="0.25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</sheetData>
  <mergeCells count="9">
    <mergeCell ref="K1:N2"/>
    <mergeCell ref="G1:I2"/>
    <mergeCell ref="J1:J3"/>
    <mergeCell ref="A1:A3"/>
    <mergeCell ref="B1:B3"/>
    <mergeCell ref="C1:C3"/>
    <mergeCell ref="D1:D3"/>
    <mergeCell ref="F1:F3"/>
    <mergeCell ref="E1:E3"/>
  </mergeCells>
  <pageMargins left="0.31496062992125984" right="0.31496062992125984" top="0.35433070866141736" bottom="0.35433070866141736" header="0.11811023622047245" footer="0.11811023622047245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Vovchik</dc:creator>
  <cp:lastModifiedBy>Maksym Chubarov</cp:lastModifiedBy>
  <cp:lastPrinted>2026-07-21T08:09:19Z</cp:lastPrinted>
  <dcterms:created xsi:type="dcterms:W3CDTF">2026-07-20T20:27:31Z</dcterms:created>
  <dcterms:modified xsi:type="dcterms:W3CDTF">2026-08-08T14:04:19Z</dcterms:modified>
</cp:coreProperties>
</file>