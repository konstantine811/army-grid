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EB119BC-B5EB-4E8E-B985-E23B2E5A87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3ПР" sheetId="1" r:id="rId1"/>
    <sheet name="2 ЗП" sheetId="2" r:id="rId2"/>
  </sheets>
  <definedNames>
    <definedName name="_xlnm._FilterDatabase" localSheetId="0" hidden="1">'3ПР'!$B$3:$Q$25</definedName>
    <definedName name="_xlnm.Print_Area" localSheetId="1">'2 ЗП'!$A$1:$AA$134</definedName>
    <definedName name="_xlnm.Print_Area" localSheetId="0">'3ПР'!$A$1:$AA$134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" l="1"/>
  <c r="V21" i="1" s="1"/>
  <c r="V26" i="1"/>
  <c r="V25" i="1"/>
  <c r="H61" i="1"/>
  <c r="H55" i="1"/>
  <c r="O74" i="1"/>
  <c r="V10" i="1" s="1"/>
  <c r="M74" i="1"/>
  <c r="V22" i="1" s="1"/>
  <c r="V37" i="2"/>
  <c r="Z37" i="2" s="1"/>
  <c r="V21" i="2" s="1"/>
  <c r="H36" i="2"/>
  <c r="Q35" i="2"/>
  <c r="V15" i="2" s="1"/>
  <c r="Q29" i="2"/>
  <c r="H25" i="2"/>
  <c r="V23" i="2"/>
  <c r="V22" i="2"/>
  <c r="O21" i="2"/>
  <c r="V19" i="2"/>
  <c r="V18" i="2"/>
  <c r="H17" i="2"/>
  <c r="V14" i="2"/>
  <c r="V13" i="2"/>
  <c r="O12" i="2"/>
  <c r="Q12" i="2" s="1"/>
  <c r="V11" i="2" s="1"/>
  <c r="M12" i="2"/>
  <c r="V9" i="2"/>
  <c r="H9" i="2"/>
  <c r="Q6" i="2"/>
  <c r="O6" i="2"/>
  <c r="M21" i="2" s="1"/>
  <c r="M6" i="2"/>
  <c r="H85" i="1"/>
  <c r="V13" i="1" s="1"/>
  <c r="H71" i="1"/>
  <c r="Q106" i="1"/>
  <c r="V14" i="1" s="1"/>
  <c r="Z72" i="1"/>
  <c r="V16" i="1" s="1"/>
  <c r="X66" i="1"/>
  <c r="V66" i="1"/>
  <c r="H49" i="1"/>
  <c r="Z55" i="1"/>
  <c r="V23" i="1" s="1"/>
  <c r="H43" i="1"/>
  <c r="Z46" i="1"/>
  <c r="V24" i="1" s="1"/>
  <c r="H32" i="1"/>
  <c r="O44" i="1"/>
  <c r="M44" i="1"/>
  <c r="O37" i="1"/>
  <c r="M37" i="1"/>
  <c r="V20" i="1"/>
  <c r="H20" i="1"/>
  <c r="V19" i="1"/>
  <c r="H7" i="1"/>
  <c r="O59" i="1" l="1"/>
  <c r="M59" i="1"/>
  <c r="V27" i="1"/>
  <c r="V11" i="1"/>
  <c r="Z66" i="1"/>
  <c r="V9" i="1" s="1"/>
  <c r="Q44" i="1"/>
  <c r="Q37" i="1"/>
  <c r="V24" i="2"/>
  <c r="V7" i="2"/>
  <c r="Q21" i="2"/>
  <c r="V12" i="2" s="1"/>
  <c r="V16" i="2" s="1"/>
  <c r="Q74" i="1"/>
  <c r="Q59" i="1" l="1"/>
  <c r="V12" i="1" s="1"/>
  <c r="V17" i="1" s="1"/>
  <c r="V7" i="1"/>
</calcChain>
</file>

<file path=xl/sharedStrings.xml><?xml version="1.0" encoding="utf-8"?>
<sst xmlns="http://schemas.openxmlformats.org/spreadsheetml/2006/main" count="1211" uniqueCount="491">
  <si>
    <t>Всього:</t>
  </si>
  <si>
    <t>ШТАТ</t>
  </si>
  <si>
    <t>Дата подання</t>
  </si>
  <si>
    <t>Статус</t>
  </si>
  <si>
    <t>Посада</t>
  </si>
  <si>
    <t>Позивний</t>
  </si>
  <si>
    <t>ПІБ</t>
  </si>
  <si>
    <t>Звання</t>
  </si>
  <si>
    <t>Самовільне залишення частини СЗЧ</t>
  </si>
  <si>
    <t>Місце перебування</t>
  </si>
  <si>
    <t>Загиблі 200</t>
  </si>
  <si>
    <t>солдат</t>
  </si>
  <si>
    <t>Зниклі безвісти 500</t>
  </si>
  <si>
    <t>Загально</t>
  </si>
  <si>
    <t>Прикомандировані</t>
  </si>
  <si>
    <t>Відком.</t>
  </si>
  <si>
    <t>Головний сержант</t>
  </si>
  <si>
    <t>ПРИКОМАНДИРОВАНІ/ВІДКОМАНДИРОВАНІ</t>
  </si>
  <si>
    <t>Відпустка</t>
  </si>
  <si>
    <t>Лікувальна відпустка</t>
  </si>
  <si>
    <t>В строю</t>
  </si>
  <si>
    <t>Лік.Відп.</t>
  </si>
  <si>
    <t>ЛУКЬЯЩЕНКО Максим Олександрович</t>
  </si>
  <si>
    <t>Новоприбулі</t>
  </si>
  <si>
    <t>Відрядження</t>
  </si>
  <si>
    <t>Навчання</t>
  </si>
  <si>
    <t>Заступник командира роти</t>
  </si>
  <si>
    <t>ЛИТВИНЕНКО Олександр Олександрович</t>
  </si>
  <si>
    <t>Відпустка/Лікувальна відпустка</t>
  </si>
  <si>
    <t>Відновлення після поранення</t>
  </si>
  <si>
    <t>Лікування по хворобі</t>
  </si>
  <si>
    <t>Лік.Пор</t>
  </si>
  <si>
    <t>ВІНКОВАТОВ Сергій Володимирович</t>
  </si>
  <si>
    <t>Мед. пункт (по хворобі/по пораненню)</t>
  </si>
  <si>
    <t>Лікування по пораненню</t>
  </si>
  <si>
    <t>навч. серж.</t>
  </si>
  <si>
    <t>ШКОЛЬНИЙ Микола Анатолійович</t>
  </si>
  <si>
    <t>2 Піхотний взвод</t>
  </si>
  <si>
    <t>Навідник М1117</t>
  </si>
  <si>
    <t>СУШИН Василь Юрійович</t>
  </si>
  <si>
    <t>Навчання/відрядження</t>
  </si>
  <si>
    <t>НЕТЕСА Ігор Олександрович</t>
  </si>
  <si>
    <t xml:space="preserve">За штатом </t>
  </si>
  <si>
    <t>ГОРОДНЮК Сергій Олександрович</t>
  </si>
  <si>
    <t>СКАЧКОВ Олександр Миколайович</t>
  </si>
  <si>
    <t>КОЦ Євген Вікторович</t>
  </si>
  <si>
    <t>КУЗЬМЕНКО Руслан Олегович</t>
  </si>
  <si>
    <t>ХОЛТОБІН Ігор Володимирович</t>
  </si>
  <si>
    <t>Шпиталь/Мед. рота (по хворобі/по пораненню)</t>
  </si>
  <si>
    <t>МОСІЄНКО Станіслав В'ячеславович</t>
  </si>
  <si>
    <t>ЗАБЕЛІН Єгор Михайлович</t>
  </si>
  <si>
    <t>Белий</t>
  </si>
  <si>
    <t>БЕЗРУКОВ Вадим Миколайович</t>
  </si>
  <si>
    <t>На виході</t>
  </si>
  <si>
    <t>Кулеметний взвод</t>
  </si>
  <si>
    <t>1 Піхотний взвод</t>
  </si>
  <si>
    <t>Всього в строю :</t>
  </si>
  <si>
    <t>Взводні</t>
  </si>
  <si>
    <t>В наявності</t>
  </si>
  <si>
    <t>БГ</t>
  </si>
  <si>
    <t>Взводні (наявність)</t>
  </si>
  <si>
    <t>Забезпечення</t>
  </si>
  <si>
    <t>МЕЛЬНИК Роман Михайлович</t>
  </si>
  <si>
    <t>Управління</t>
  </si>
  <si>
    <t>Старий</t>
  </si>
  <si>
    <t>З них в строю.</t>
  </si>
  <si>
    <t>ГОЛУБЕНКО Віталій Андрійович</t>
  </si>
  <si>
    <t>Всього відсутніх :</t>
  </si>
  <si>
    <t>САХНО Микола Олександрович</t>
  </si>
  <si>
    <t>Загиблі</t>
  </si>
  <si>
    <t>Зниклі безвісті</t>
  </si>
  <si>
    <t>СЗЧ</t>
  </si>
  <si>
    <t>Лікування</t>
  </si>
  <si>
    <t>Відкомандировані</t>
  </si>
  <si>
    <t xml:space="preserve"> </t>
  </si>
  <si>
    <t xml:space="preserve">З них відсутні : </t>
  </si>
  <si>
    <t>ПІМЖИН Віталій Євгенович</t>
  </si>
  <si>
    <t>Всього по списку</t>
  </si>
  <si>
    <t>Сержант з ВМТЗ</t>
  </si>
  <si>
    <t>МОГИЛЬНИЙ Валентин Васильович</t>
  </si>
  <si>
    <t>мол.сержант</t>
  </si>
  <si>
    <t>За штатом</t>
  </si>
  <si>
    <t>капітан</t>
  </si>
  <si>
    <t>3 піхотна рота</t>
  </si>
  <si>
    <t>Командир роти</t>
  </si>
  <si>
    <t>ФЕДОРЧУК Андрій Вікторович</t>
  </si>
  <si>
    <t>3 Піхотний взвод</t>
  </si>
  <si>
    <t>1 ОТБр</t>
  </si>
  <si>
    <t>Фрукт</t>
  </si>
  <si>
    <t>АНТОНЕНКО Олександр Миколайович</t>
  </si>
  <si>
    <t>КВ</t>
  </si>
  <si>
    <t>ГВ</t>
  </si>
  <si>
    <t>Нік</t>
  </si>
  <si>
    <t>ФЕДОРЦІВ Микита Васильович</t>
  </si>
  <si>
    <t>МИХАЛЕВСЬКИЙ Сергій Юрійович</t>
  </si>
  <si>
    <t>Коржик</t>
  </si>
  <si>
    <t>КОРЖЕНКО Олександр Вікторович</t>
  </si>
  <si>
    <t>Шпак</t>
  </si>
  <si>
    <t>Бугор</t>
  </si>
  <si>
    <t>БУЧ Володимир Вікторович</t>
  </si>
  <si>
    <t>Немо</t>
  </si>
  <si>
    <t>МАРУСЕНКО Володимир Анатолійович</t>
  </si>
  <si>
    <t>Зеніт</t>
  </si>
  <si>
    <t>ЗВЕЗДІЛІН Михайло Михайлович</t>
  </si>
  <si>
    <t>Арчі</t>
  </si>
  <si>
    <t>ЗАРОВНИЙ Юрій Ігорович</t>
  </si>
  <si>
    <t xml:space="preserve">Всього в строю : </t>
  </si>
  <si>
    <t xml:space="preserve">В наявності </t>
  </si>
  <si>
    <t>Охорона</t>
  </si>
  <si>
    <t>Дорох</t>
  </si>
  <si>
    <t>ДОРОШЕНКО Олексій Олександрович</t>
  </si>
  <si>
    <t>Старший технік</t>
  </si>
  <si>
    <t>З них в строю</t>
  </si>
  <si>
    <t>2 зведений підрозділ</t>
  </si>
  <si>
    <t>41 ОМБр</t>
  </si>
  <si>
    <t>сержант</t>
  </si>
  <si>
    <t>старший солдат</t>
  </si>
  <si>
    <t>ФАЗА</t>
  </si>
  <si>
    <t>ПАНАМА</t>
  </si>
  <si>
    <t>МЕЛІТОПОЛЬ</t>
  </si>
  <si>
    <t>ВОРОН</t>
  </si>
  <si>
    <t>ГЕРМАН</t>
  </si>
  <si>
    <t>СВІТЛЯЧОК</t>
  </si>
  <si>
    <t>ДЕД</t>
  </si>
  <si>
    <t>ДИВНИЙ</t>
  </si>
  <si>
    <t>МІХАЛИЧ</t>
  </si>
  <si>
    <t>КЛІМ</t>
  </si>
  <si>
    <t>СНАЙПЕР</t>
  </si>
  <si>
    <t>РІЗАК</t>
  </si>
  <si>
    <t>МАМЕД</t>
  </si>
  <si>
    <t>СОСНА</t>
  </si>
  <si>
    <t>ПЕТРУХА</t>
  </si>
  <si>
    <t>ХАРЬКОВ</t>
  </si>
  <si>
    <t>СВЯТОЙ</t>
  </si>
  <si>
    <t>НАКИДОК</t>
  </si>
  <si>
    <t>ЗМІЙ</t>
  </si>
  <si>
    <t>ШАТУН</t>
  </si>
  <si>
    <t>СИЧ</t>
  </si>
  <si>
    <t>ЛЕОН</t>
  </si>
  <si>
    <t>САРМАТ</t>
  </si>
  <si>
    <t>Навч.</t>
  </si>
  <si>
    <t>ЗАВХОЗ</t>
  </si>
  <si>
    <t>ЖУК</t>
  </si>
  <si>
    <t>ТАКСІСТ</t>
  </si>
  <si>
    <t>ЧЕХ</t>
  </si>
  <si>
    <t>МАТЮК</t>
  </si>
  <si>
    <t>ТИХИЙ</t>
  </si>
  <si>
    <t>КОМЕРС</t>
  </si>
  <si>
    <t>ГЕША</t>
  </si>
  <si>
    <t>ШУРІК</t>
  </si>
  <si>
    <t>ВЕРТ</t>
  </si>
  <si>
    <t>ЦИГАН</t>
  </si>
  <si>
    <t>БУК</t>
  </si>
  <si>
    <t>13-Й</t>
  </si>
  <si>
    <t>ПИЖ</t>
  </si>
  <si>
    <t>МЕХА</t>
  </si>
  <si>
    <t>ДОБІ</t>
  </si>
  <si>
    <t>ЛИСИЙ</t>
  </si>
  <si>
    <t>07.07 продовжує лікування 14.06 ЦМКЛ Суми</t>
  </si>
  <si>
    <t>навчання на Браунінг</t>
  </si>
  <si>
    <t>ШИЛО Сергій Миколайович</t>
  </si>
  <si>
    <t>АРГОН</t>
  </si>
  <si>
    <t>МУШКАТЬОРОВ Роман Володимирович</t>
  </si>
  <si>
    <t>МУХА</t>
  </si>
  <si>
    <t>НАВРОЦЬКИЙ Олександр Філімонович</t>
  </si>
  <si>
    <t>КОРЧ</t>
  </si>
  <si>
    <t>ЮЗЬКОВ Олександр Анатолійович</t>
  </si>
  <si>
    <t>ДІДОК</t>
  </si>
  <si>
    <t>ДАВИД</t>
  </si>
  <si>
    <t>із ТРО103</t>
  </si>
  <si>
    <t>ГОР</t>
  </si>
  <si>
    <t>ДУДА</t>
  </si>
  <si>
    <t>мотогрупа</t>
  </si>
  <si>
    <t>відсутнє БЗВП</t>
  </si>
  <si>
    <t>СЄРІК Сергій Олександрович</t>
  </si>
  <si>
    <t>БЕЗРУК Роман Олександрович</t>
  </si>
  <si>
    <t>Приком.</t>
  </si>
  <si>
    <t>БАБЕНКО Віталій Петрович</t>
  </si>
  <si>
    <t>не поданий</t>
  </si>
  <si>
    <t>БОЛЮБАХА Кирило Олександрович</t>
  </si>
  <si>
    <t>ВОРОНОВ Іван Володимирович</t>
  </si>
  <si>
    <t>рядовий</t>
  </si>
  <si>
    <t>ЯРОШИК Назар Іванович</t>
  </si>
  <si>
    <t>ФІЛІН</t>
  </si>
  <si>
    <t>МОРОЗОВ Артур Васильович</t>
  </si>
  <si>
    <t>ГАРМАШ Олександр Григорович</t>
  </si>
  <si>
    <t>ГЕРМАН Віталій Богданович</t>
  </si>
  <si>
    <t>ДАВИДЕНКО Михайло Євгенович</t>
  </si>
  <si>
    <t>ДЕМЕДЮК Сергій Євгенович</t>
  </si>
  <si>
    <t>ДУДА Валерій Володимирович</t>
  </si>
  <si>
    <t>ДУМИН Андрій Ярославович</t>
  </si>
  <si>
    <t>ДЮЖИКОВ Роман Михайлович</t>
  </si>
  <si>
    <t>КЛИМЕНКО Володимир Олексійович</t>
  </si>
  <si>
    <t>КОСТИШИН Валентин Борисович</t>
  </si>
  <si>
    <t>ЛУНЯКА Петро Володимирович</t>
  </si>
  <si>
    <t>МАМАДЖАНОВ Ігор Аледжанович</t>
  </si>
  <si>
    <t>МАРТИНЮК Костянтин Петрович</t>
  </si>
  <si>
    <t>ПЕТРАШЕВСЬКИЙ Сергій Михайлович</t>
  </si>
  <si>
    <t>ПРОСКУРІН Роман Олександрович</t>
  </si>
  <si>
    <t>САВЧУК Роман Вікторович</t>
  </si>
  <si>
    <t>СУХАРЄВ Леонід Володимирович</t>
  </si>
  <si>
    <t>ТЕЛИХ Миколай Миколайович</t>
  </si>
  <si>
    <t>УЮТНОВ Сергій Євгенович</t>
  </si>
  <si>
    <t>ШАТАЛОВ Ігор Миколайович</t>
  </si>
  <si>
    <t>ДАНИЛЮК Дмитро Миколайович</t>
  </si>
  <si>
    <t>ЯРОШ Ігор Вікторович</t>
  </si>
  <si>
    <t>мол. лейтен.</t>
  </si>
  <si>
    <t>103ТрО</t>
  </si>
  <si>
    <t>ДЗЮБЕНКО Сергій Іванович</t>
  </si>
  <si>
    <t>СИДІР Роман Іванович</t>
  </si>
  <si>
    <t>На виконанні</t>
  </si>
  <si>
    <t>103 ОБрТрО</t>
  </si>
  <si>
    <t>Зведений підрозділ</t>
  </si>
  <si>
    <t>х</t>
  </si>
  <si>
    <t>ДАНИЛОВ Ігор Юрієвич</t>
  </si>
  <si>
    <t>КЛЮЙКОВ Роман Сергійович</t>
  </si>
  <si>
    <t>КУПРІЄНКО Олександр Олександрович</t>
  </si>
  <si>
    <t>ЛЕВЧУК Руслан Васильович</t>
  </si>
  <si>
    <t>СІРЯЧЕНКО Микола Миколайович</t>
  </si>
  <si>
    <t>ШУРУБУРА Сергій Станіславович</t>
  </si>
  <si>
    <t>АРХИП</t>
  </si>
  <si>
    <t>ДАН</t>
  </si>
  <si>
    <t>АРЧІ</t>
  </si>
  <si>
    <t>СІРКО</t>
  </si>
  <si>
    <t>ЛЬОВА</t>
  </si>
  <si>
    <t>УГРЮМИЙ</t>
  </si>
  <si>
    <t>ХАН</t>
  </si>
  <si>
    <t>Єгорич</t>
  </si>
  <si>
    <t>Водій квадроцикла</t>
  </si>
  <si>
    <t>Розрахунок браунінг</t>
  </si>
  <si>
    <t xml:space="preserve">Діловод </t>
  </si>
  <si>
    <t>кулеметник</t>
  </si>
  <si>
    <t>гранатометник</t>
  </si>
  <si>
    <t>стрілець</t>
  </si>
  <si>
    <t>радіотелефоніст</t>
  </si>
  <si>
    <t>водій-радіотелефоніст</t>
  </si>
  <si>
    <t xml:space="preserve">вогнеметник </t>
  </si>
  <si>
    <t>вогнеметник</t>
  </si>
  <si>
    <t>стрілець-помічник гранатометника</t>
  </si>
  <si>
    <t>навідник</t>
  </si>
  <si>
    <t>старший стрілець</t>
  </si>
  <si>
    <t>водій</t>
  </si>
  <si>
    <t>ЛУКИЧ</t>
  </si>
  <si>
    <t>навідник кулеметного взводу</t>
  </si>
  <si>
    <t>номер обслуги</t>
  </si>
  <si>
    <t>командир відділення кулеметного взводу</t>
  </si>
  <si>
    <t>командир 3 піхотного відділення</t>
  </si>
  <si>
    <t>на 19.08 м.Біла Церква 1МЛ</t>
  </si>
  <si>
    <t>1ПБ 3ПР</t>
  </si>
  <si>
    <t>Мотогрупа</t>
  </si>
  <si>
    <t>ПИРОГОВ Микола Федорович</t>
  </si>
  <si>
    <t>БУБЛІКОВ</t>
  </si>
  <si>
    <t>бойовий медик</t>
  </si>
  <si>
    <t>старший навідник кулеметного взводу</t>
  </si>
  <si>
    <t>водій кулеметного взводу</t>
  </si>
  <si>
    <t>номер обслуги гранатометного взводу</t>
  </si>
  <si>
    <t>Лік.Хвор</t>
  </si>
  <si>
    <t>Гранатометний взвод</t>
  </si>
  <si>
    <t>старший навідник</t>
  </si>
  <si>
    <t>АРХІПЕНКО Олександр Олександрович</t>
  </si>
  <si>
    <t>СЄРИЙ</t>
  </si>
  <si>
    <t>механік</t>
  </si>
  <si>
    <t>ТКАЧЕНКО Микола Миколайович</t>
  </si>
  <si>
    <t>ТКАЧ</t>
  </si>
  <si>
    <t>ЯКУБ Віктор Євгенович</t>
  </si>
  <si>
    <t>ОДЕССА</t>
  </si>
  <si>
    <t>помічник гранатометника</t>
  </si>
  <si>
    <t>кандидат на СЗЧ</t>
  </si>
  <si>
    <t>КАН Володимир Володимирович</t>
  </si>
  <si>
    <t>3ПР</t>
  </si>
  <si>
    <t>СТАХІВ Віталій Ярославович</t>
  </si>
  <si>
    <t>ФІМЛЯР Володимир Ярославович</t>
  </si>
  <si>
    <t>Кіндрат</t>
  </si>
  <si>
    <t>ЦИКАЛО Максим Миколайович</t>
  </si>
  <si>
    <t>Наслідник</t>
  </si>
  <si>
    <t>КОЦЮРМАХА Владислав Леонідович</t>
  </si>
  <si>
    <t>Вєщій</t>
  </si>
  <si>
    <t>БРЕЗ</t>
  </si>
  <si>
    <t>медрота</t>
  </si>
  <si>
    <t>ДЬОМА</t>
  </si>
  <si>
    <t>стрілець помічник гранатометника</t>
  </si>
  <si>
    <t>25.09 лікування ББКЛ м.Бровари 24.09 євакуйований у СОКЛ м.Суми</t>
  </si>
  <si>
    <t>Полігон "Б"</t>
  </si>
  <si>
    <t>01.10 Смілявська міська лікарня продовжує лікування 15.06 КНП ЦМКЛ СМР</t>
  </si>
  <si>
    <t>стрілець помічник гранатометника бзвп</t>
  </si>
  <si>
    <t>ферма</t>
  </si>
  <si>
    <t>БОБОВ Олександр Володимирович</t>
  </si>
  <si>
    <t>БОБ</t>
  </si>
  <si>
    <t>АТАМАНЧУК Юрій Іванович</t>
  </si>
  <si>
    <t>СИВИЙ</t>
  </si>
  <si>
    <t>АРНАУТОВ Олександр Геннадійович</t>
  </si>
  <si>
    <t>ВЖИК</t>
  </si>
  <si>
    <t>ГАМАЮНОВ Ігор Олександрович</t>
  </si>
  <si>
    <t>СЕДОЙ</t>
  </si>
  <si>
    <t>ДЗІСЬ Роман Іванович</t>
  </si>
  <si>
    <t>КІПІШ</t>
  </si>
  <si>
    <t>МЕЛЬНИК Володимир Миколайович</t>
  </si>
  <si>
    <t>ВОХА</t>
  </si>
  <si>
    <t>БРОВЧЕНКО Андрій Васильович</t>
  </si>
  <si>
    <t>БРОВКІН</t>
  </si>
  <si>
    <t>МАКСИМІВ Михайло Васильович</t>
  </si>
  <si>
    <t>СТАРШИНА</t>
  </si>
  <si>
    <t>МАСЛОВ Максим Володимирович</t>
  </si>
  <si>
    <t>БІЛИЙ</t>
  </si>
  <si>
    <t>ПОЦЮРКО Володимир Богданович</t>
  </si>
  <si>
    <t>КІНОЛОГ</t>
  </si>
  <si>
    <t>ТЕЛЯТИНСЬКИЙ Євстахій Євстахійович</t>
  </si>
  <si>
    <t>ДЕМОН</t>
  </si>
  <si>
    <t>ГУЛІЙ Денис Ігорович</t>
  </si>
  <si>
    <t>ГУЛЯ</t>
  </si>
  <si>
    <t>ГНОЙОВИЙ Антон Валерійович</t>
  </si>
  <si>
    <t>ГНОМ</t>
  </si>
  <si>
    <t>ДЗУНДЗА Ярослав Іванович</t>
  </si>
  <si>
    <t>КРЯК</t>
  </si>
  <si>
    <t>ЛЕГКОНЕЦЬ Іван Тарасович</t>
  </si>
  <si>
    <t>ЛЕГКИЙ</t>
  </si>
  <si>
    <t>УТОПЛЄННІКОВ Володимир Сергійович</t>
  </si>
  <si>
    <t>КУРАНАЙ</t>
  </si>
  <si>
    <t>МАЛОЙ</t>
  </si>
  <si>
    <t>ГРИГОР'ЄВ Сергій Валентинович</t>
  </si>
  <si>
    <t>ГРЄК</t>
  </si>
  <si>
    <t>СЬОМКІН Олександр Олександрович</t>
  </si>
  <si>
    <t>МІНЧЕНКО олександр Олександрович</t>
  </si>
  <si>
    <t>СЄДОЙ</t>
  </si>
  <si>
    <t>САКСОНОВ Олексій Анатолійович</t>
  </si>
  <si>
    <t>ЗАЯЦ</t>
  </si>
  <si>
    <t xml:space="preserve">командир 2 піхотного відділення </t>
  </si>
  <si>
    <t>старший водій</t>
  </si>
  <si>
    <t xml:space="preserve">гранатометник </t>
  </si>
  <si>
    <t>головний сержант 1 взводу</t>
  </si>
  <si>
    <t>ТАТАР</t>
  </si>
  <si>
    <t>ЮЩЕНКО Володимир Вікторович</t>
  </si>
  <si>
    <t>ПЧЕЛОВОД</t>
  </si>
  <si>
    <t>ТІТАРЕНКО Сергій Юрійович</t>
  </si>
  <si>
    <t>ОРОБЄЙ Олександр Миколайович</t>
  </si>
  <si>
    <t>до 10.11</t>
  </si>
  <si>
    <t>н/п Павлоград</t>
  </si>
  <si>
    <t>21.10 м.Дніпро А4615</t>
  </si>
  <si>
    <t>Полігон Д</t>
  </si>
  <si>
    <t>23.10 прибув на медроту</t>
  </si>
  <si>
    <t xml:space="preserve">солдат </t>
  </si>
  <si>
    <t xml:space="preserve">ПОХИЛ Олексій Анатолійович </t>
  </si>
  <si>
    <t>Льолік</t>
  </si>
  <si>
    <t>матрос</t>
  </si>
  <si>
    <t>до 23.11</t>
  </si>
  <si>
    <t>21.10 лікування МСЧ Мотор-Січ</t>
  </si>
  <si>
    <t>КУЦЕВИЧ Юрый Михайлович</t>
  </si>
  <si>
    <t>МАЛИЙ</t>
  </si>
  <si>
    <t>Радіотелефоніст</t>
  </si>
  <si>
    <t>24.10 ВМГ м.Дніпро</t>
  </si>
  <si>
    <t>КОСТИК Юрій Валерійович</t>
  </si>
  <si>
    <t>ЛОМ</t>
  </si>
  <si>
    <t>ДЕНИСЕНКО Дмитро Олександрович</t>
  </si>
  <si>
    <t>ДЕЦЕЛ</t>
  </si>
  <si>
    <t>СИЩУК Андрій Олександрович</t>
  </si>
  <si>
    <t>МОРЯЧОК</t>
  </si>
  <si>
    <t>РУДЬ Олександр Вікторович</t>
  </si>
  <si>
    <t>ВЕНТІК</t>
  </si>
  <si>
    <t>16.10 продовжує лікування Львівська Св'ятого Пантелеймона 11.06 Шпиталь Полтава</t>
  </si>
  <si>
    <t>до 16.11</t>
  </si>
  <si>
    <t>27.10 на лікування у ОГВВ м.Дніпро</t>
  </si>
  <si>
    <t>28.10 лікув. 8МКЛ м.Київ 26.10 евакуйований ГВВ м.Суми</t>
  </si>
  <si>
    <t xml:space="preserve">Вик. БЗ </t>
  </si>
  <si>
    <t>29.10 евакуйований на медроту П</t>
  </si>
  <si>
    <t>до 29.11.25</t>
  </si>
  <si>
    <t>САМУСЕНКО Роман Сергійович</t>
  </si>
  <si>
    <t>ВІКІНГ</t>
  </si>
  <si>
    <t>приком.</t>
  </si>
  <si>
    <t>ППД "Вишневе"</t>
  </si>
  <si>
    <t>н/п Покровськ 02.11.2025</t>
  </si>
  <si>
    <t>н/п Покровськ 03.11.2025</t>
  </si>
  <si>
    <t>05.11 евак на Дніпро</t>
  </si>
  <si>
    <t>до 06.12</t>
  </si>
  <si>
    <t>09.11 м.Хмельницький А2339 05.11 евак 66 ВМГ м.Петропавлівка</t>
  </si>
  <si>
    <t>10.11 лікування "Циблі" Київська обл.</t>
  </si>
  <si>
    <t>10.11 м.Дніпро А4615</t>
  </si>
  <si>
    <t>до 11.12</t>
  </si>
  <si>
    <t>12.11 м.Чернівці А1028 25.10 на лікування 6 МКЛ м.Дніпропетровськ</t>
  </si>
  <si>
    <t>12.11 на МР Д</t>
  </si>
  <si>
    <t>12.11 А2339 м.Хмельницький 06.11 ліг МЛ №6 м.Дніпро 05.11 евак 66 ВМГ м.Петропавлівка</t>
  </si>
  <si>
    <t>14.11 ЦЛ м.Хуст 13.10 м.Львів 19.09 евакуйований в СОКГВВ м.Суми</t>
  </si>
  <si>
    <t>до 15.12</t>
  </si>
  <si>
    <t>14.11 Дніпроп.ОГЛВВ 21.10 КП "ДОКЛ"</t>
  </si>
  <si>
    <t>27.10 м.Івано-Франківськ</t>
  </si>
  <si>
    <t>до 17.12</t>
  </si>
  <si>
    <t>19.11 ДОКЛ Мєчнікова 09.11 евак ПХГ Олександрівка</t>
  </si>
  <si>
    <t>21.11 м.Харків МЛ27</t>
  </si>
  <si>
    <t>ППД Слав'янка</t>
  </si>
  <si>
    <t>н/п Покровськ 01.11.2025</t>
  </si>
  <si>
    <t>ППД Славянка</t>
  </si>
  <si>
    <t>ППД Петропавлівка</t>
  </si>
  <si>
    <t>В строю БГ</t>
  </si>
  <si>
    <r>
      <t xml:space="preserve">старший стрілець, </t>
    </r>
    <r>
      <rPr>
        <b/>
        <sz val="16"/>
        <color rgb="FFFF0000"/>
        <rFont val="Calibri"/>
        <family val="2"/>
        <charset val="204"/>
      </rPr>
      <t>Обмеж.придатний</t>
    </r>
  </si>
  <si>
    <t>Полігон Б</t>
  </si>
  <si>
    <t>н/п  Тернове 17.10.2025</t>
  </si>
  <si>
    <t>н/п Покровськ 07.11.2025</t>
  </si>
  <si>
    <t>н/п Яблунівка 23.10.2025</t>
  </si>
  <si>
    <t>МОРОЗ Дмитро Володимирович</t>
  </si>
  <si>
    <t>МОРОЗ</t>
  </si>
  <si>
    <t>21.10 евак</t>
  </si>
  <si>
    <t>БУЛАТОВ Святослав Рафікович</t>
  </si>
  <si>
    <t>РАФІК</t>
  </si>
  <si>
    <t>навч.на мехвод</t>
  </si>
  <si>
    <t>н/п Яблунівка 06.08.2025</t>
  </si>
  <si>
    <t>н/п Яблунівка 28.07.2025</t>
  </si>
  <si>
    <t>КРАВЦОВ Олексій Володимирович</t>
  </si>
  <si>
    <t>КРАВА</t>
  </si>
  <si>
    <t>13.11 евак</t>
  </si>
  <si>
    <t>н/п Тернове 21.10.2025</t>
  </si>
  <si>
    <t>Полк</t>
  </si>
  <si>
    <t>н/п Тернове 20.10.2025</t>
  </si>
  <si>
    <t>ГРОМ</t>
  </si>
  <si>
    <t>н/п Покровськ 12.11</t>
  </si>
  <si>
    <t>н/п Покровськ 17.11</t>
  </si>
  <si>
    <r>
      <t xml:space="preserve">ком.відділення, </t>
    </r>
    <r>
      <rPr>
        <b/>
        <sz val="16"/>
        <color rgb="FFFF0000"/>
        <rFont val="Calibri"/>
        <family val="2"/>
        <charset val="204"/>
      </rPr>
      <t>Обмеж.придатний</t>
    </r>
  </si>
  <si>
    <t>молодший сержант</t>
  </si>
  <si>
    <t>ОНІЩУК Іван Володимирович</t>
  </si>
  <si>
    <t>КІРЯН</t>
  </si>
  <si>
    <t>29.10 евак</t>
  </si>
  <si>
    <t>н/п Тернове 26.10.2025</t>
  </si>
  <si>
    <t>н/п Вербове 22.10.2025</t>
  </si>
  <si>
    <t>н/п Покровськ 31.10</t>
  </si>
  <si>
    <t>до 21.11</t>
  </si>
  <si>
    <r>
      <t xml:space="preserve">водій гранатометного взводу, </t>
    </r>
    <r>
      <rPr>
        <b/>
        <sz val="16"/>
        <color rgb="FFFF0000"/>
        <rFont val="Calibri"/>
        <family val="2"/>
        <charset val="204"/>
      </rPr>
      <t>Обмеж.придатний</t>
    </r>
  </si>
  <si>
    <t>н/п Вербове 23.10.2025</t>
  </si>
  <si>
    <t>ГУСАЧЕНКО Ігор Борисович</t>
  </si>
  <si>
    <t>ІНТЕЛЕГЕНТ</t>
  </si>
  <si>
    <t>розвідник-далекомірник</t>
  </si>
  <si>
    <t>НЄЄЛОВ Дмитро Сергійович</t>
  </si>
  <si>
    <t>АРМАНІ</t>
  </si>
  <si>
    <t>ШАТЕЦЬКИЙ Віктор Володимирович</t>
  </si>
  <si>
    <t>ОНІКС</t>
  </si>
  <si>
    <t>н/п Вербове 28.10.2025</t>
  </si>
  <si>
    <t>23.10 евак</t>
  </si>
  <si>
    <t>ВЛАСЮК Богдан Анатолійович</t>
  </si>
  <si>
    <t>ЯЦИК</t>
  </si>
  <si>
    <t>ЦВІГУН Олег Миколайович</t>
  </si>
  <si>
    <t>МАЛЮК</t>
  </si>
  <si>
    <t>н/п Покровськ 09.11.2025</t>
  </si>
  <si>
    <t>КАЛУЖНЯК Василь Іванович</t>
  </si>
  <si>
    <t>ОСА</t>
  </si>
  <si>
    <t>н/п Покровськ 10.11.2025</t>
  </si>
  <si>
    <t>КОРНІЄНКО Максим Анатолійович</t>
  </si>
  <si>
    <t>ВЕРИКОЗ</t>
  </si>
  <si>
    <t>оператор</t>
  </si>
  <si>
    <t>командир відділення</t>
  </si>
  <si>
    <t>ОСТАПЧУК Анатолій Васильович</t>
  </si>
  <si>
    <t>МІРОН</t>
  </si>
  <si>
    <t>старший оператор</t>
  </si>
  <si>
    <t>ІВАНОВ В'ячеслав Вікторович</t>
  </si>
  <si>
    <t>ВЯЧИК</t>
  </si>
  <si>
    <t>ПРАДУН Олександр Володимирович</t>
  </si>
  <si>
    <t>БАЗІК</t>
  </si>
  <si>
    <t>оператор-зенітник</t>
  </si>
  <si>
    <t>н/п Покровськ 08.11.2025</t>
  </si>
  <si>
    <t>КОКИЦЬ Сергій Анатолійович</t>
  </si>
  <si>
    <t>МОЛЬФАР</t>
  </si>
  <si>
    <t>стрілець-гранатометник</t>
  </si>
  <si>
    <t>03.11 евак</t>
  </si>
  <si>
    <t>МІРОШНИЧЕНКО Дмитро Сергійович</t>
  </si>
  <si>
    <t>МИРОХА</t>
  </si>
  <si>
    <t>ЄСАУЛЕНКО Микола Петрович</t>
  </si>
  <si>
    <t>ЄСАУЛ</t>
  </si>
  <si>
    <t>НАГОРНИЙ Віталій Миколайович</t>
  </si>
  <si>
    <t>ЖИД</t>
  </si>
  <si>
    <t>Обмеж.придатний</t>
  </si>
  <si>
    <t>МИКУЛЕНКО Олексій Миколайович</t>
  </si>
  <si>
    <t>АРТИСТ</t>
  </si>
  <si>
    <t>РУДЕНКО Олександр Юрійович</t>
  </si>
  <si>
    <t>ТАРЗАН</t>
  </si>
  <si>
    <t>САМСОНОВ Янош Геннадійович</t>
  </si>
  <si>
    <t>МЄТЕЛІЦА</t>
  </si>
  <si>
    <t>н/п Покровськ 18.11</t>
  </si>
  <si>
    <t>КАЙДАШ Сергій Миколайович</t>
  </si>
  <si>
    <t>МАЛИШ</t>
  </si>
  <si>
    <t>МАЛИШАК Іван Миколайович</t>
  </si>
  <si>
    <t>МАМАЙ</t>
  </si>
  <si>
    <t>РОСКОСЕНКО Володимир Олександрович</t>
  </si>
  <si>
    <t>РОСКОС</t>
  </si>
  <si>
    <t>24.10 евак</t>
  </si>
  <si>
    <t>СВЯТЕНКО Роман Михайлович</t>
  </si>
  <si>
    <t>МАРШАЛ Юрій Іванович</t>
  </si>
  <si>
    <t>ЮРЕЦ</t>
  </si>
  <si>
    <t>ТКАЧЕНКО Максим Едуардович</t>
  </si>
  <si>
    <t>ЧЕЧЕН</t>
  </si>
  <si>
    <t>ЧЕРНУЦЬКИЙ Микола Юрійович</t>
  </si>
  <si>
    <t>АВДЕЙ</t>
  </si>
  <si>
    <t>20.10 МР</t>
  </si>
  <si>
    <t>БЕЗПАЛИЙ</t>
  </si>
  <si>
    <t>н/п Покровськ 22.11.2025</t>
  </si>
  <si>
    <t>н/п Покровськ 23.11.2025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</si>
</sst>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"/>
    <numFmt numFmtId="165" formatCode="m/d/yyyy"/>
    <numFmt numFmtId="166" formatCode="dd\.mm\.yyyy;@"/>
  </numFmts>
  <fonts count="22" x14ac:knownFonts="1">
    <font>
      <sz val="11"/>
      <name val="Calibri"/>
    </font>
    <font>
      <sz val="11"/>
      <color theme="1"/>
      <name val="Calibri"/>
      <family val="2"/>
      <charset val="204"/>
      <scheme val="minor"/>
    </font>
    <font>
      <sz val="16"/>
      <color rgb="FF000000"/>
      <name val="Calibri"/>
      <family val="2"/>
      <charset val="204"/>
    </font>
    <font>
      <b/>
      <sz val="16"/>
      <color rgb="FF000000"/>
      <name val="Calibri"/>
      <family val="2"/>
      <charset val="204"/>
    </font>
    <font>
      <sz val="16"/>
      <name val="Calibri"/>
      <family val="2"/>
      <charset val="204"/>
    </font>
    <font>
      <sz val="16"/>
      <color rgb="FF000000"/>
      <name val="Calibri"/>
      <family val="2"/>
      <charset val="204"/>
    </font>
    <font>
      <sz val="16"/>
      <color rgb="FF000000"/>
      <name val="Calibri"/>
      <family val="2"/>
      <charset val="204"/>
    </font>
    <font>
      <b/>
      <sz val="16"/>
      <name val="Calibri"/>
      <family val="2"/>
      <charset val="204"/>
    </font>
    <font>
      <sz val="16"/>
      <name val="Calibri"/>
      <family val="2"/>
      <charset val="204"/>
    </font>
    <font>
      <sz val="16"/>
      <color rgb="FFFF0000"/>
      <name val="Calibri"/>
      <family val="2"/>
      <charset val="204"/>
    </font>
    <font>
      <sz val="18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6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</font>
    <font>
      <sz val="11"/>
      <name val="Calibri"/>
      <family val="2"/>
      <charset val="204"/>
      <scheme val="minor"/>
    </font>
    <font>
      <sz val="16"/>
      <color theme="1"/>
      <name val="Calibri"/>
      <family val="2"/>
      <charset val="204"/>
    </font>
    <font>
      <b/>
      <sz val="16"/>
      <color rgb="FFFF0000"/>
      <name val="Calibri"/>
      <family val="2"/>
      <charset val="204"/>
    </font>
    <font>
      <sz val="16"/>
      <color theme="1"/>
      <name val="Calibri"/>
      <family val="2"/>
      <charset val="204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BE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</patternFill>
    </fill>
    <fill>
      <patternFill patternType="solid">
        <fgColor rgb="FF9DC3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8">
    <xf numFmtId="0" fontId="0" fillId="0" borderId="0">
      <alignment vertical="center"/>
    </xf>
    <xf numFmtId="0" fontId="12" fillId="0" borderId="0">
      <protection locked="0"/>
    </xf>
    <xf numFmtId="0" fontId="12" fillId="0" borderId="0">
      <protection locked="0"/>
    </xf>
    <xf numFmtId="0" fontId="13" fillId="0" borderId="0">
      <protection locked="0"/>
    </xf>
    <xf numFmtId="0" fontId="12" fillId="0" borderId="0">
      <protection locked="0"/>
    </xf>
    <xf numFmtId="0" fontId="14" fillId="0" borderId="0"/>
    <xf numFmtId="0" fontId="14" fillId="0" borderId="0"/>
    <xf numFmtId="0" fontId="1" fillId="0" borderId="0"/>
    <xf numFmtId="0" fontId="16" fillId="0" borderId="0">
      <alignment vertical="center"/>
    </xf>
    <xf numFmtId="0" fontId="12" fillId="0" borderId="0">
      <protection locked="0"/>
    </xf>
    <xf numFmtId="0" fontId="1" fillId="0" borderId="0"/>
    <xf numFmtId="0" fontId="1" fillId="0" borderId="0"/>
    <xf numFmtId="0" fontId="1" fillId="0" borderId="0" applyBorder="0"/>
    <xf numFmtId="0" fontId="17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 applyBorder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 applyBorder="0"/>
    <xf numFmtId="0" fontId="1" fillId="0" borderId="0"/>
    <xf numFmtId="0" fontId="1" fillId="0" borderId="0"/>
    <xf numFmtId="0" fontId="1" fillId="0" borderId="0"/>
    <xf numFmtId="0" fontId="1" fillId="0" borderId="0" applyBorder="0"/>
  </cellStyleXfs>
  <cellXfs count="379">
    <xf numFmtId="0" fontId="0" fillId="0" borderId="0" xfId="0">
      <alignment vertical="center"/>
    </xf>
    <xf numFmtId="0" fontId="2" fillId="0" borderId="0" xfId="1" applyFont="1" applyAlignment="1" applyProtection="1"/>
    <xf numFmtId="0" fontId="2" fillId="0" borderId="0" xfId="1" applyFont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0" borderId="0" xfId="1" applyFont="1" applyAlignment="1" applyProtection="1">
      <alignment horizontal="center" vertical="center"/>
    </xf>
    <xf numFmtId="0" fontId="3" fillId="2" borderId="7" xfId="2" applyFont="1" applyFill="1" applyBorder="1" applyAlignment="1" applyProtection="1">
      <alignment horizontal="center" vertical="center"/>
    </xf>
    <xf numFmtId="0" fontId="3" fillId="2" borderId="8" xfId="2" applyFont="1" applyFill="1" applyBorder="1" applyAlignment="1" applyProtection="1">
      <alignment horizontal="center" vertical="center"/>
    </xf>
    <xf numFmtId="0" fontId="3" fillId="2" borderId="9" xfId="2" applyFont="1" applyFill="1" applyBorder="1" applyAlignment="1" applyProtection="1">
      <alignment horizontal="center" vertical="center"/>
    </xf>
    <xf numFmtId="0" fontId="3" fillId="2" borderId="10" xfId="2" applyFont="1" applyFill="1" applyBorder="1" applyAlignment="1" applyProtection="1">
      <alignment horizontal="center" vertical="center"/>
    </xf>
    <xf numFmtId="0" fontId="3" fillId="2" borderId="11" xfId="2" applyFont="1" applyFill="1" applyBorder="1" applyAlignment="1" applyProtection="1">
      <alignment horizontal="center" vertical="center"/>
    </xf>
    <xf numFmtId="0" fontId="3" fillId="2" borderId="12" xfId="2" applyFont="1" applyFill="1" applyBorder="1" applyAlignment="1" applyProtection="1">
      <alignment horizontal="center" vertical="center"/>
    </xf>
    <xf numFmtId="0" fontId="4" fillId="0" borderId="13" xfId="1" applyFont="1" applyBorder="1" applyAlignment="1" applyProtection="1">
      <alignment horizontal="center" vertical="center" wrapText="1"/>
    </xf>
    <xf numFmtId="0" fontId="4" fillId="0" borderId="14" xfId="1" applyFont="1" applyBorder="1" applyAlignment="1" applyProtection="1">
      <alignment horizontal="center" vertical="center" wrapText="1"/>
    </xf>
    <xf numFmtId="49" fontId="4" fillId="0" borderId="14" xfId="1" applyNumberFormat="1" applyFont="1" applyBorder="1" applyAlignment="1" applyProtection="1">
      <alignment horizontal="center" vertical="top" wrapText="1"/>
    </xf>
    <xf numFmtId="0" fontId="4" fillId="3" borderId="15" xfId="1" applyFont="1" applyFill="1" applyBorder="1" applyAlignment="1" applyProtection="1">
      <alignment horizontal="center" vertical="center"/>
    </xf>
    <xf numFmtId="0" fontId="4" fillId="0" borderId="16" xfId="1" applyFont="1" applyBorder="1" applyAlignment="1" applyProtection="1">
      <alignment horizontal="center"/>
    </xf>
    <xf numFmtId="0" fontId="4" fillId="0" borderId="17" xfId="1" applyFont="1" applyBorder="1" applyAlignment="1" applyProtection="1">
      <alignment horizontal="center" vertical="center" wrapText="1"/>
    </xf>
    <xf numFmtId="0" fontId="4" fillId="3" borderId="15" xfId="1" applyFont="1" applyFill="1" applyBorder="1" applyAlignment="1" applyProtection="1">
      <alignment horizontal="left" vertical="center" wrapText="1"/>
    </xf>
    <xf numFmtId="0" fontId="4" fillId="0" borderId="15" xfId="1" applyFont="1" applyBorder="1" applyAlignment="1" applyProtection="1">
      <alignment horizontal="center" vertical="center" wrapText="1"/>
    </xf>
    <xf numFmtId="49" fontId="4" fillId="0" borderId="15" xfId="1" applyNumberFormat="1" applyFont="1" applyBorder="1" applyAlignment="1" applyProtection="1">
      <alignment horizontal="center" vertical="top" wrapText="1"/>
    </xf>
    <xf numFmtId="0" fontId="4" fillId="0" borderId="18" xfId="1" applyFont="1" applyBorder="1" applyAlignment="1" applyProtection="1">
      <alignment horizontal="center"/>
    </xf>
    <xf numFmtId="0" fontId="4" fillId="3" borderId="17" xfId="1" applyFont="1" applyFill="1" applyBorder="1" applyAlignment="1" applyProtection="1">
      <alignment horizontal="center" vertical="center" wrapText="1"/>
    </xf>
    <xf numFmtId="0" fontId="4" fillId="3" borderId="15" xfId="1" applyFont="1" applyFill="1" applyBorder="1" applyAlignment="1" applyProtection="1">
      <alignment horizontal="center" vertical="center" wrapText="1"/>
    </xf>
    <xf numFmtId="49" fontId="4" fillId="3" borderId="15" xfId="1" applyNumberFormat="1" applyFont="1" applyFill="1" applyBorder="1" applyAlignment="1" applyProtection="1">
      <alignment horizontal="center" vertical="top" wrapText="1"/>
    </xf>
    <xf numFmtId="0" fontId="4" fillId="3" borderId="15" xfId="1" applyFont="1" applyFill="1" applyBorder="1" applyAlignment="1" applyProtection="1">
      <alignment horizontal="left"/>
    </xf>
    <xf numFmtId="0" fontId="4" fillId="3" borderId="18" xfId="1" applyFont="1" applyFill="1" applyBorder="1" applyAlignment="1" applyProtection="1">
      <alignment horizontal="center"/>
    </xf>
    <xf numFmtId="0" fontId="4" fillId="0" borderId="15" xfId="1" applyFont="1" applyBorder="1" applyAlignment="1" applyProtection="1">
      <alignment horizontal="center" vertical="top" wrapText="1"/>
    </xf>
    <xf numFmtId="0" fontId="4" fillId="0" borderId="15" xfId="1" applyFont="1" applyBorder="1" applyAlignment="1" applyProtection="1">
      <alignment horizontal="center"/>
    </xf>
    <xf numFmtId="0" fontId="4" fillId="3" borderId="15" xfId="1" applyFont="1" applyFill="1" applyBorder="1" applyAlignment="1" applyProtection="1">
      <alignment horizontal="center" vertical="top" wrapText="1"/>
    </xf>
    <xf numFmtId="0" fontId="4" fillId="4" borderId="15" xfId="1" applyFont="1" applyFill="1" applyBorder="1" applyAlignment="1" applyProtection="1">
      <alignment horizontal="left"/>
    </xf>
    <xf numFmtId="0" fontId="3" fillId="0" borderId="13" xfId="2" applyFont="1" applyBorder="1" applyAlignment="1" applyProtection="1">
      <alignment horizontal="left" vertical="center"/>
    </xf>
    <xf numFmtId="0" fontId="3" fillId="0" borderId="3" xfId="2" applyFont="1" applyBorder="1" applyAlignment="1" applyProtection="1">
      <alignment horizontal="center" vertical="center"/>
    </xf>
    <xf numFmtId="49" fontId="3" fillId="0" borderId="20" xfId="2" applyNumberFormat="1" applyFont="1" applyBorder="1" applyAlignment="1" applyProtection="1">
      <alignment horizontal="left" vertical="center"/>
    </xf>
    <xf numFmtId="0" fontId="3" fillId="0" borderId="21" xfId="2" applyFont="1" applyBorder="1" applyAlignment="1" applyProtection="1">
      <alignment horizontal="center" vertical="center"/>
    </xf>
    <xf numFmtId="0" fontId="4" fillId="3" borderId="15" xfId="1" applyFont="1" applyFill="1" applyBorder="1" applyAlignment="1" applyProtection="1">
      <alignment horizontal="left" vertical="top" wrapText="1"/>
    </xf>
    <xf numFmtId="0" fontId="4" fillId="3" borderId="15" xfId="1" applyFont="1" applyFill="1" applyBorder="1" applyAlignment="1" applyProtection="1"/>
    <xf numFmtId="0" fontId="2" fillId="3" borderId="24" xfId="1" applyFont="1" applyFill="1" applyBorder="1" applyAlignment="1" applyProtection="1">
      <alignment horizontal="center"/>
    </xf>
    <xf numFmtId="0" fontId="4" fillId="3" borderId="20" xfId="1" applyFont="1" applyFill="1" applyBorder="1" applyAlignment="1" applyProtection="1">
      <alignment horizontal="center" vertical="center" wrapText="1"/>
    </xf>
    <xf numFmtId="0" fontId="4" fillId="3" borderId="26" xfId="1" applyFont="1" applyFill="1" applyBorder="1" applyAlignment="1" applyProtection="1">
      <alignment horizontal="left" vertical="center" wrapText="1"/>
    </xf>
    <xf numFmtId="0" fontId="4" fillId="3" borderId="26" xfId="1" applyFont="1" applyFill="1" applyBorder="1" applyAlignment="1" applyProtection="1">
      <alignment horizontal="center" vertical="center" wrapText="1"/>
    </xf>
    <xf numFmtId="0" fontId="4" fillId="0" borderId="21" xfId="1" applyFont="1" applyBorder="1" applyAlignment="1" applyProtection="1">
      <alignment horizontal="center"/>
    </xf>
    <xf numFmtId="0" fontId="5" fillId="3" borderId="23" xfId="3" applyFont="1" applyFill="1" applyBorder="1" applyAlignment="1" applyProtection="1">
      <alignment horizontal="center" vertical="center"/>
    </xf>
    <xf numFmtId="49" fontId="4" fillId="3" borderId="23" xfId="1" applyNumberFormat="1" applyFont="1" applyFill="1" applyBorder="1" applyAlignment="1" applyProtection="1">
      <alignment horizontal="center" vertical="top" wrapText="1"/>
    </xf>
    <xf numFmtId="0" fontId="4" fillId="3" borderId="23" xfId="1" applyFont="1" applyFill="1" applyBorder="1" applyAlignment="1" applyProtection="1">
      <alignment horizontal="center" vertical="center" wrapText="1"/>
    </xf>
    <xf numFmtId="49" fontId="3" fillId="5" borderId="13" xfId="2" applyNumberFormat="1" applyFont="1" applyFill="1" applyBorder="1" applyAlignment="1" applyProtection="1">
      <alignment horizontal="left" vertical="center"/>
    </xf>
    <xf numFmtId="0" fontId="3" fillId="5" borderId="16" xfId="2" applyFont="1" applyFill="1" applyBorder="1" applyAlignment="1" applyProtection="1">
      <alignment horizontal="center" vertical="center"/>
    </xf>
    <xf numFmtId="0" fontId="3" fillId="6" borderId="29" xfId="1" applyFont="1" applyFill="1" applyBorder="1" applyAlignment="1" applyProtection="1">
      <alignment horizontal="center" vertical="center"/>
    </xf>
    <xf numFmtId="0" fontId="4" fillId="3" borderId="22" xfId="1" applyFont="1" applyFill="1" applyBorder="1" applyAlignment="1" applyProtection="1">
      <alignment horizontal="center" vertical="center" wrapText="1"/>
    </xf>
    <xf numFmtId="0" fontId="2" fillId="3" borderId="15" xfId="1" applyFont="1" applyFill="1" applyBorder="1" applyAlignment="1" applyProtection="1">
      <alignment horizontal="center"/>
    </xf>
    <xf numFmtId="49" fontId="3" fillId="0" borderId="17" xfId="2" applyNumberFormat="1" applyFont="1" applyBorder="1" applyAlignment="1" applyProtection="1">
      <alignment horizontal="left" vertical="center"/>
    </xf>
    <xf numFmtId="0" fontId="3" fillId="0" borderId="18" xfId="2" applyFont="1" applyBorder="1" applyAlignment="1" applyProtection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8" xfId="1" applyFont="1" applyFill="1" applyBorder="1" applyAlignment="1" applyProtection="1">
      <alignment horizontal="center"/>
    </xf>
    <xf numFmtId="49" fontId="3" fillId="7" borderId="17" xfId="2" applyNumberFormat="1" applyFont="1" applyFill="1" applyBorder="1" applyAlignment="1" applyProtection="1">
      <alignment horizontal="left" vertical="center"/>
    </xf>
    <xf numFmtId="0" fontId="3" fillId="7" borderId="18" xfId="2" applyFont="1" applyFill="1" applyBorder="1" applyAlignment="1" applyProtection="1">
      <alignment horizontal="center" vertical="center"/>
    </xf>
    <xf numFmtId="0" fontId="5" fillId="3" borderId="15" xfId="3" applyFont="1" applyFill="1" applyBorder="1" applyAlignment="1" applyProtection="1">
      <alignment horizontal="center"/>
    </xf>
    <xf numFmtId="0" fontId="5" fillId="3" borderId="15" xfId="3" applyFont="1" applyFill="1" applyBorder="1" applyAlignment="1" applyProtection="1">
      <alignment horizontal="center" vertical="center"/>
    </xf>
    <xf numFmtId="49" fontId="4" fillId="3" borderId="23" xfId="1" applyNumberFormat="1" applyFont="1" applyFill="1" applyBorder="1" applyAlignment="1" applyProtection="1">
      <alignment horizontal="center" vertical="center" wrapText="1"/>
    </xf>
    <xf numFmtId="49" fontId="3" fillId="8" borderId="17" xfId="2" applyNumberFormat="1" applyFont="1" applyFill="1" applyBorder="1" applyAlignment="1" applyProtection="1">
      <alignment horizontal="left" vertical="center"/>
    </xf>
    <xf numFmtId="0" fontId="3" fillId="8" borderId="18" xfId="2" applyFont="1" applyFill="1" applyBorder="1" applyAlignment="1" applyProtection="1">
      <alignment horizontal="center" vertical="center"/>
    </xf>
    <xf numFmtId="49" fontId="3" fillId="9" borderId="17" xfId="2" applyNumberFormat="1" applyFont="1" applyFill="1" applyBorder="1" applyAlignment="1" applyProtection="1">
      <alignment horizontal="left" vertical="center"/>
    </xf>
    <xf numFmtId="0" fontId="3" fillId="9" borderId="18" xfId="2" applyFont="1" applyFill="1" applyBorder="1" applyAlignment="1" applyProtection="1">
      <alignment horizontal="center" vertical="center"/>
    </xf>
    <xf numFmtId="0" fontId="4" fillId="0" borderId="22" xfId="1" applyFont="1" applyBorder="1" applyAlignment="1" applyProtection="1">
      <alignment horizontal="center" vertical="center" wrapText="1"/>
    </xf>
    <xf numFmtId="0" fontId="4" fillId="0" borderId="15" xfId="1" applyFont="1" applyBorder="1" applyAlignment="1" applyProtection="1"/>
    <xf numFmtId="0" fontId="2" fillId="0" borderId="18" xfId="1" applyFont="1" applyBorder="1" applyAlignment="1" applyProtection="1">
      <alignment horizontal="center"/>
    </xf>
    <xf numFmtId="49" fontId="3" fillId="10" borderId="17" xfId="2" applyNumberFormat="1" applyFont="1" applyFill="1" applyBorder="1" applyAlignment="1" applyProtection="1">
      <alignment horizontal="left" vertical="center"/>
    </xf>
    <xf numFmtId="0" fontId="3" fillId="10" borderId="18" xfId="2" applyFont="1" applyFill="1" applyBorder="1" applyAlignment="1" applyProtection="1">
      <alignment horizontal="center" vertical="center"/>
    </xf>
    <xf numFmtId="0" fontId="4" fillId="3" borderId="15" xfId="1" applyFont="1" applyFill="1" applyBorder="1" applyAlignment="1" applyProtection="1">
      <alignment vertical="center" wrapText="1"/>
    </xf>
    <xf numFmtId="0" fontId="4" fillId="3" borderId="23" xfId="1" applyFont="1" applyFill="1" applyBorder="1" applyAlignment="1" applyProtection="1">
      <alignment horizontal="left" vertical="center" wrapText="1"/>
    </xf>
    <xf numFmtId="0" fontId="3" fillId="0" borderId="20" xfId="1" applyFont="1" applyBorder="1" applyAlignment="1" applyProtection="1">
      <alignment horizontal="left"/>
    </xf>
    <xf numFmtId="0" fontId="2" fillId="0" borderId="32" xfId="1" applyFont="1" applyBorder="1" applyAlignment="1" applyProtection="1">
      <alignment horizontal="center"/>
    </xf>
    <xf numFmtId="49" fontId="4" fillId="3" borderId="15" xfId="1" applyNumberFormat="1" applyFont="1" applyFill="1" applyBorder="1" applyAlignment="1" applyProtection="1">
      <alignment vertical="top" wrapText="1"/>
    </xf>
    <xf numFmtId="0" fontId="4" fillId="0" borderId="15" xfId="1" applyFont="1" applyBorder="1" applyAlignment="1" applyProtection="1">
      <alignment horizontal="left" vertical="top" wrapText="1"/>
    </xf>
    <xf numFmtId="49" fontId="7" fillId="11" borderId="17" xfId="2" applyNumberFormat="1" applyFont="1" applyFill="1" applyBorder="1" applyAlignment="1" applyProtection="1">
      <alignment horizontal="left" vertical="center"/>
    </xf>
    <xf numFmtId="0" fontId="7" fillId="11" borderId="24" xfId="2" applyFont="1" applyFill="1" applyBorder="1" applyAlignment="1" applyProtection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49" fontId="3" fillId="12" borderId="17" xfId="2" applyNumberFormat="1" applyFont="1" applyFill="1" applyBorder="1" applyAlignment="1" applyProtection="1">
      <alignment horizontal="left" vertical="center"/>
    </xf>
    <xf numFmtId="0" fontId="3" fillId="12" borderId="18" xfId="2" applyFont="1" applyFill="1" applyBorder="1" applyAlignment="1" applyProtection="1">
      <alignment horizontal="center" vertical="center"/>
    </xf>
    <xf numFmtId="0" fontId="8" fillId="3" borderId="15" xfId="1" applyFont="1" applyFill="1" applyBorder="1" applyAlignment="1" applyProtection="1">
      <alignment horizontal="center" vertical="center" wrapText="1"/>
    </xf>
    <xf numFmtId="0" fontId="6" fillId="3" borderId="15" xfId="1" applyFont="1" applyFill="1" applyBorder="1" applyAlignment="1" applyProtection="1">
      <alignment horizontal="center" vertical="center"/>
    </xf>
    <xf numFmtId="0" fontId="2" fillId="3" borderId="18" xfId="2" applyFont="1" applyFill="1" applyBorder="1" applyAlignment="1">
      <alignment horizontal="center" vertical="center"/>
      <protection locked="0"/>
    </xf>
    <xf numFmtId="49" fontId="3" fillId="13" borderId="17" xfId="2" applyNumberFormat="1" applyFont="1" applyFill="1" applyBorder="1" applyAlignment="1" applyProtection="1">
      <alignment horizontal="left" vertical="center"/>
    </xf>
    <xf numFmtId="0" fontId="3" fillId="13" borderId="18" xfId="2" applyFont="1" applyFill="1" applyBorder="1" applyAlignment="1" applyProtection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3" borderId="15" xfId="1" applyFont="1" applyFill="1" applyBorder="1" applyAlignment="1" applyProtection="1">
      <alignment horizontal="left" wrapText="1"/>
    </xf>
    <xf numFmtId="49" fontId="3" fillId="14" borderId="10" xfId="2" applyNumberFormat="1" applyFont="1" applyFill="1" applyBorder="1" applyAlignment="1" applyProtection="1">
      <alignment horizontal="left" vertical="center"/>
    </xf>
    <xf numFmtId="0" fontId="3" fillId="14" borderId="12" xfId="2" applyFont="1" applyFill="1" applyBorder="1" applyAlignment="1" applyProtection="1">
      <alignment horizontal="center" vertical="center"/>
    </xf>
    <xf numFmtId="49" fontId="4" fillId="3" borderId="15" xfId="1" applyNumberFormat="1" applyFont="1" applyFill="1" applyBorder="1" applyAlignment="1" applyProtection="1">
      <alignment horizontal="center" vertical="center" wrapText="1"/>
    </xf>
    <xf numFmtId="0" fontId="4" fillId="3" borderId="15" xfId="1" applyFont="1" applyFill="1" applyBorder="1" applyAlignment="1" applyProtection="1">
      <alignment horizontal="left" vertical="center"/>
    </xf>
    <xf numFmtId="0" fontId="3" fillId="0" borderId="17" xfId="1" applyFont="1" applyBorder="1" applyAlignment="1" applyProtection="1">
      <alignment horizontal="left"/>
    </xf>
    <xf numFmtId="0" fontId="2" fillId="3" borderId="17" xfId="1" applyFont="1" applyFill="1" applyBorder="1" applyAlignment="1" applyProtection="1">
      <alignment horizontal="center"/>
    </xf>
    <xf numFmtId="0" fontId="2" fillId="3" borderId="15" xfId="1" applyFont="1" applyFill="1" applyBorder="1" applyAlignment="1" applyProtection="1">
      <alignment horizontal="left"/>
    </xf>
    <xf numFmtId="0" fontId="2" fillId="3" borderId="15" xfId="1" applyFont="1" applyFill="1" applyBorder="1" applyAlignment="1" applyProtection="1">
      <alignment horizontal="center" vertical="center"/>
    </xf>
    <xf numFmtId="0" fontId="2" fillId="3" borderId="15" xfId="1" applyFont="1" applyFill="1" applyBorder="1" applyAlignment="1" applyProtection="1"/>
    <xf numFmtId="0" fontId="2" fillId="0" borderId="15" xfId="1" applyFont="1" applyBorder="1" applyAlignment="1" applyProtection="1"/>
    <xf numFmtId="0" fontId="2" fillId="0" borderId="15" xfId="1" applyFont="1" applyBorder="1" applyAlignment="1" applyProtection="1">
      <alignment horizontal="center"/>
    </xf>
    <xf numFmtId="0" fontId="2" fillId="0" borderId="21" xfId="1" applyFont="1" applyBorder="1" applyAlignment="1" applyProtection="1">
      <alignment horizontal="center"/>
    </xf>
    <xf numFmtId="0" fontId="3" fillId="6" borderId="21" xfId="1" applyFont="1" applyFill="1" applyBorder="1" applyAlignment="1" applyProtection="1">
      <alignment horizontal="center" vertical="center"/>
    </xf>
    <xf numFmtId="0" fontId="2" fillId="6" borderId="33" xfId="1" applyFont="1" applyFill="1" applyBorder="1" applyAlignment="1" applyProtection="1">
      <alignment horizontal="center" vertical="center"/>
    </xf>
    <xf numFmtId="0" fontId="2" fillId="6" borderId="34" xfId="1" applyFont="1" applyFill="1" applyBorder="1" applyAlignment="1" applyProtection="1">
      <alignment horizontal="right" vertical="center"/>
    </xf>
    <xf numFmtId="0" fontId="3" fillId="6" borderId="34" xfId="2" applyFont="1" applyFill="1" applyBorder="1" applyAlignment="1" applyProtection="1">
      <alignment horizontal="center" vertical="center"/>
    </xf>
    <xf numFmtId="0" fontId="2" fillId="6" borderId="35" xfId="1" applyFont="1" applyFill="1" applyBorder="1" applyAlignment="1" applyProtection="1">
      <alignment horizontal="right" vertical="center"/>
    </xf>
    <xf numFmtId="0" fontId="4" fillId="3" borderId="15" xfId="1" applyFont="1" applyFill="1" applyBorder="1" applyAlignment="1" applyProtection="1">
      <alignment horizontal="center"/>
    </xf>
    <xf numFmtId="49" fontId="4" fillId="3" borderId="36" xfId="1" applyNumberFormat="1" applyFont="1" applyFill="1" applyBorder="1" applyAlignment="1" applyProtection="1">
      <alignment horizontal="center" vertical="top" wrapText="1"/>
    </xf>
    <xf numFmtId="0" fontId="4" fillId="3" borderId="23" xfId="1" applyFont="1" applyFill="1" applyBorder="1" applyAlignment="1" applyProtection="1">
      <alignment horizontal="center" vertical="center"/>
    </xf>
    <xf numFmtId="0" fontId="3" fillId="13" borderId="10" xfId="2" applyFont="1" applyFill="1" applyBorder="1" applyAlignment="1" applyProtection="1">
      <alignment horizontal="center" vertical="center"/>
    </xf>
    <xf numFmtId="0" fontId="3" fillId="13" borderId="11" xfId="2" applyFont="1" applyFill="1" applyBorder="1" applyAlignment="1" applyProtection="1">
      <alignment horizontal="center" vertical="center"/>
    </xf>
    <xf numFmtId="0" fontId="3" fillId="13" borderId="12" xfId="2" applyFont="1" applyFill="1" applyBorder="1" applyAlignment="1" applyProtection="1">
      <alignment horizontal="center" vertical="center"/>
    </xf>
    <xf numFmtId="0" fontId="3" fillId="2" borderId="20" xfId="2" applyFont="1" applyFill="1" applyBorder="1" applyAlignment="1" applyProtection="1">
      <alignment horizontal="center" vertical="center"/>
    </xf>
    <xf numFmtId="0" fontId="3" fillId="2" borderId="26" xfId="2" applyFont="1" applyFill="1" applyBorder="1" applyAlignment="1" applyProtection="1">
      <alignment horizontal="center" vertical="center"/>
    </xf>
    <xf numFmtId="0" fontId="3" fillId="2" borderId="21" xfId="2" applyFont="1" applyFill="1" applyBorder="1" applyAlignment="1" applyProtection="1">
      <alignment horizontal="center" vertical="center"/>
    </xf>
    <xf numFmtId="0" fontId="4" fillId="3" borderId="15" xfId="1" applyFont="1" applyFill="1" applyBorder="1" applyAlignment="1" applyProtection="1">
      <alignment wrapText="1"/>
    </xf>
    <xf numFmtId="0" fontId="2" fillId="6" borderId="27" xfId="1" applyFont="1" applyFill="1" applyBorder="1" applyAlignment="1" applyProtection="1">
      <alignment horizontal="right" vertical="center"/>
    </xf>
    <xf numFmtId="0" fontId="2" fillId="6" borderId="19" xfId="1" applyFont="1" applyFill="1" applyBorder="1" applyAlignment="1" applyProtection="1">
      <alignment horizontal="right" vertical="center"/>
    </xf>
    <xf numFmtId="0" fontId="2" fillId="6" borderId="28" xfId="1" applyFont="1" applyFill="1" applyBorder="1" applyAlignment="1" applyProtection="1">
      <alignment horizontal="right" vertical="center"/>
    </xf>
    <xf numFmtId="0" fontId="4" fillId="11" borderId="15" xfId="1" applyFont="1" applyFill="1" applyBorder="1" applyAlignment="1" applyProtection="1">
      <alignment horizontal="center" vertical="center" wrapText="1"/>
    </xf>
    <xf numFmtId="0" fontId="10" fillId="3" borderId="40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1" fillId="3" borderId="15" xfId="0" applyFont="1" applyFill="1" applyBorder="1" applyAlignment="1"/>
    <xf numFmtId="0" fontId="11" fillId="3" borderId="15" xfId="0" applyFont="1" applyFill="1" applyBorder="1" applyAlignment="1">
      <alignment horizontal="center" vertical="center"/>
    </xf>
    <xf numFmtId="0" fontId="3" fillId="2" borderId="1" xfId="2" applyFont="1" applyFill="1" applyBorder="1" applyAlignment="1" applyProtection="1">
      <alignment horizontal="center" vertical="center"/>
    </xf>
    <xf numFmtId="0" fontId="3" fillId="2" borderId="2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/>
    </xf>
    <xf numFmtId="0" fontId="3" fillId="6" borderId="19" xfId="1" applyFont="1" applyFill="1" applyBorder="1" applyAlignment="1" applyProtection="1">
      <alignment horizontal="center" vertical="center"/>
    </xf>
    <xf numFmtId="0" fontId="4" fillId="3" borderId="10" xfId="1" applyFont="1" applyFill="1" applyBorder="1" applyAlignment="1" applyProtection="1">
      <alignment horizontal="center" vertical="center" wrapText="1"/>
    </xf>
    <xf numFmtId="0" fontId="6" fillId="3" borderId="11" xfId="1" applyFont="1" applyFill="1" applyBorder="1" applyAlignment="1" applyProtection="1">
      <alignment vertical="center"/>
    </xf>
    <xf numFmtId="0" fontId="6" fillId="3" borderId="11" xfId="1" applyFont="1" applyFill="1" applyBorder="1" applyAlignment="1" applyProtection="1">
      <alignment horizontal="center" vertical="center"/>
    </xf>
    <xf numFmtId="0" fontId="2" fillId="3" borderId="11" xfId="1" applyFont="1" applyFill="1" applyBorder="1" applyAlignment="1" applyProtection="1"/>
    <xf numFmtId="164" fontId="2" fillId="3" borderId="15" xfId="1" applyNumberFormat="1" applyFont="1" applyFill="1" applyBorder="1" applyAlignment="1" applyProtection="1">
      <alignment horizontal="left"/>
    </xf>
    <xf numFmtId="0" fontId="4" fillId="0" borderId="15" xfId="1" applyFont="1" applyBorder="1" applyAlignment="1" applyProtection="1">
      <alignment horizontal="left" vertical="center" wrapText="1"/>
    </xf>
    <xf numFmtId="0" fontId="6" fillId="0" borderId="15" xfId="1" applyFont="1" applyBorder="1" applyAlignment="1" applyProtection="1">
      <alignment horizontal="center" vertical="center"/>
    </xf>
    <xf numFmtId="0" fontId="2" fillId="6" borderId="27" xfId="1" applyFont="1" applyFill="1" applyBorder="1" applyAlignment="1" applyProtection="1">
      <alignment horizontal="right" vertical="center"/>
    </xf>
    <xf numFmtId="0" fontId="2" fillId="6" borderId="19" xfId="1" applyFont="1" applyFill="1" applyBorder="1" applyAlignment="1" applyProtection="1">
      <alignment horizontal="right" vertical="center"/>
    </xf>
    <xf numFmtId="0" fontId="2" fillId="6" borderId="28" xfId="1" applyFont="1" applyFill="1" applyBorder="1" applyAlignment="1" applyProtection="1">
      <alignment horizontal="right" vertical="center"/>
    </xf>
    <xf numFmtId="0" fontId="2" fillId="0" borderId="37" xfId="1" applyFont="1" applyBorder="1" applyAlignment="1" applyProtection="1">
      <alignment horizontal="center"/>
    </xf>
    <xf numFmtId="0" fontId="2" fillId="0" borderId="38" xfId="1" applyFont="1" applyBorder="1" applyAlignment="1" applyProtection="1">
      <alignment horizontal="left"/>
    </xf>
    <xf numFmtId="0" fontId="2" fillId="0" borderId="38" xfId="1" applyFont="1" applyBorder="1" applyAlignment="1" applyProtection="1">
      <alignment horizontal="center" vertical="center"/>
    </xf>
    <xf numFmtId="0" fontId="2" fillId="0" borderId="38" xfId="1" applyFont="1" applyBorder="1" applyAlignment="1" applyProtection="1"/>
    <xf numFmtId="0" fontId="2" fillId="0" borderId="39" xfId="1" applyFont="1" applyBorder="1" applyAlignment="1" applyProtection="1">
      <alignment horizontal="center"/>
    </xf>
    <xf numFmtId="0" fontId="6" fillId="0" borderId="15" xfId="0" applyFont="1" applyBorder="1" applyAlignment="1">
      <alignment horizontal="center" vertical="center"/>
    </xf>
    <xf numFmtId="0" fontId="2" fillId="6" borderId="37" xfId="1" applyFont="1" applyFill="1" applyBorder="1" applyAlignment="1" applyProtection="1">
      <alignment horizontal="right" vertical="center"/>
    </xf>
    <xf numFmtId="0" fontId="2" fillId="6" borderId="38" xfId="1" applyFont="1" applyFill="1" applyBorder="1" applyAlignment="1" applyProtection="1">
      <alignment horizontal="right" vertical="center"/>
    </xf>
    <xf numFmtId="0" fontId="2" fillId="6" borderId="42" xfId="1" applyFont="1" applyFill="1" applyBorder="1" applyAlignment="1" applyProtection="1">
      <alignment horizontal="right" vertical="center"/>
    </xf>
    <xf numFmtId="0" fontId="3" fillId="6" borderId="9" xfId="1" applyFont="1" applyFill="1" applyBorder="1" applyAlignment="1" applyProtection="1">
      <alignment horizontal="center" vertical="center"/>
    </xf>
    <xf numFmtId="0" fontId="4" fillId="0" borderId="20" xfId="1" applyFont="1" applyBorder="1" applyAlignment="1" applyProtection="1">
      <alignment horizontal="center" vertical="center" wrapText="1"/>
    </xf>
    <xf numFmtId="0" fontId="4" fillId="0" borderId="26" xfId="1" applyFont="1" applyBorder="1" applyAlignment="1" applyProtection="1">
      <alignment horizontal="left" vertical="center" wrapText="1"/>
    </xf>
    <xf numFmtId="0" fontId="4" fillId="0" borderId="26" xfId="1" applyFont="1" applyBorder="1" applyAlignment="1" applyProtection="1">
      <alignment horizontal="center" vertical="center" wrapText="1"/>
    </xf>
    <xf numFmtId="49" fontId="4" fillId="0" borderId="26" xfId="1" applyNumberFormat="1" applyFont="1" applyBorder="1" applyAlignment="1" applyProtection="1">
      <alignment horizontal="center" vertical="top" wrapText="1"/>
    </xf>
    <xf numFmtId="0" fontId="4" fillId="3" borderId="15" xfId="4" applyFont="1" applyFill="1" applyBorder="1" applyAlignment="1" applyProtection="1">
      <alignment vertical="center" wrapText="1"/>
    </xf>
    <xf numFmtId="0" fontId="2" fillId="0" borderId="15" xfId="1" applyFont="1" applyBorder="1" applyAlignment="1" applyProtection="1">
      <alignment horizontal="left"/>
    </xf>
    <xf numFmtId="0" fontId="3" fillId="6" borderId="43" xfId="1" applyFont="1" applyFill="1" applyBorder="1" applyAlignment="1" applyProtection="1">
      <alignment horizontal="center" vertical="center"/>
    </xf>
    <xf numFmtId="0" fontId="4" fillId="6" borderId="23" xfId="1" applyFont="1" applyFill="1" applyBorder="1" applyAlignment="1" applyProtection="1">
      <alignment horizontal="right" vertical="center" wrapText="1"/>
    </xf>
    <xf numFmtId="0" fontId="4" fillId="3" borderId="44" xfId="1" applyFont="1" applyFill="1" applyBorder="1" applyAlignment="1" applyProtection="1">
      <alignment horizontal="right" vertical="center" wrapText="1"/>
    </xf>
    <xf numFmtId="0" fontId="3" fillId="3" borderId="44" xfId="1" applyFont="1" applyFill="1" applyBorder="1" applyAlignment="1" applyProtection="1">
      <alignment horizontal="center" vertical="center"/>
    </xf>
    <xf numFmtId="0" fontId="4" fillId="3" borderId="11" xfId="1" applyFont="1" applyFill="1" applyBorder="1" applyAlignment="1" applyProtection="1">
      <alignment horizontal="left" vertical="center" wrapText="1"/>
    </xf>
    <xf numFmtId="0" fontId="4" fillId="3" borderId="11" xfId="1" applyFont="1" applyFill="1" applyBorder="1" applyAlignment="1" applyProtection="1">
      <alignment horizontal="center" vertical="center" wrapText="1"/>
    </xf>
    <xf numFmtId="0" fontId="4" fillId="3" borderId="11" xfId="1" applyFont="1" applyFill="1" applyBorder="1" applyAlignment="1" applyProtection="1">
      <alignment horizontal="left" vertical="top" wrapText="1"/>
    </xf>
    <xf numFmtId="0" fontId="4" fillId="3" borderId="11" xfId="1" applyFont="1" applyFill="1" applyBorder="1" applyAlignment="1" applyProtection="1">
      <alignment horizontal="center" vertical="center"/>
    </xf>
    <xf numFmtId="0" fontId="4" fillId="3" borderId="12" xfId="1" applyFont="1" applyFill="1" applyBorder="1" applyAlignment="1" applyProtection="1">
      <alignment horizontal="center" vertical="center" wrapText="1"/>
    </xf>
    <xf numFmtId="0" fontId="2" fillId="6" borderId="37" xfId="1" applyFont="1" applyFill="1" applyBorder="1" applyAlignment="1" applyProtection="1">
      <alignment horizontal="right" vertical="center"/>
    </xf>
    <xf numFmtId="0" fontId="2" fillId="6" borderId="38" xfId="1" applyFont="1" applyFill="1" applyBorder="1" applyAlignment="1" applyProtection="1">
      <alignment horizontal="right" vertical="center"/>
    </xf>
    <xf numFmtId="0" fontId="2" fillId="6" borderId="42" xfId="1" applyFont="1" applyFill="1" applyBorder="1" applyAlignment="1" applyProtection="1">
      <alignment horizontal="right" vertical="center"/>
    </xf>
    <xf numFmtId="49" fontId="4" fillId="0" borderId="15" xfId="1" applyNumberFormat="1" applyFont="1" applyBorder="1" applyAlignment="1" applyProtection="1">
      <alignment horizontal="center" vertical="center" wrapText="1"/>
    </xf>
    <xf numFmtId="165" fontId="2" fillId="0" borderId="15" xfId="1" applyNumberFormat="1" applyFont="1" applyBorder="1" applyAlignment="1" applyProtection="1">
      <alignment horizontal="center"/>
    </xf>
    <xf numFmtId="0" fontId="2" fillId="15" borderId="15" xfId="0" applyFont="1" applyFill="1" applyBorder="1" applyAlignment="1">
      <alignment horizontal="center" vertical="center"/>
    </xf>
    <xf numFmtId="49" fontId="4" fillId="0" borderId="15" xfId="1" applyNumberFormat="1" applyFont="1" applyBorder="1" applyAlignment="1" applyProtection="1">
      <alignment vertical="top" wrapText="1"/>
    </xf>
    <xf numFmtId="0" fontId="2" fillId="6" borderId="27" xfId="1" applyFont="1" applyFill="1" applyBorder="1" applyAlignment="1" applyProtection="1">
      <alignment horizontal="right" vertical="center"/>
    </xf>
    <xf numFmtId="0" fontId="2" fillId="6" borderId="19" xfId="1" applyFont="1" applyFill="1" applyBorder="1" applyAlignment="1" applyProtection="1">
      <alignment horizontal="right" vertical="center"/>
    </xf>
    <xf numFmtId="0" fontId="2" fillId="6" borderId="28" xfId="1" applyFont="1" applyFill="1" applyBorder="1" applyAlignment="1" applyProtection="1">
      <alignment horizontal="right" vertical="center"/>
    </xf>
    <xf numFmtId="0" fontId="4" fillId="0" borderId="0" xfId="1" applyFont="1" applyAlignment="1" applyProtection="1">
      <alignment horizontal="center" vertical="center" wrapText="1"/>
    </xf>
    <xf numFmtId="0" fontId="4" fillId="0" borderId="0" xfId="1" applyFont="1" applyAlignment="1" applyProtection="1">
      <alignment horizontal="left" vertical="center" wrapText="1"/>
    </xf>
    <xf numFmtId="49" fontId="4" fillId="0" borderId="0" xfId="1" applyNumberFormat="1" applyFont="1" applyAlignment="1" applyProtection="1">
      <alignment vertical="top" wrapText="1"/>
    </xf>
    <xf numFmtId="0" fontId="4" fillId="0" borderId="0" xfId="1" applyFont="1" applyAlignment="1" applyProtection="1"/>
    <xf numFmtId="0" fontId="4" fillId="0" borderId="0" xfId="1" applyFont="1" applyAlignment="1" applyProtection="1">
      <alignment horizontal="center"/>
    </xf>
    <xf numFmtId="0" fontId="2" fillId="6" borderId="27" xfId="1" applyFont="1" applyFill="1" applyBorder="1" applyAlignment="1" applyProtection="1">
      <alignment horizontal="center" vertical="center"/>
    </xf>
    <xf numFmtId="0" fontId="2" fillId="6" borderId="19" xfId="1" applyFont="1" applyFill="1" applyBorder="1" applyAlignment="1" applyProtection="1">
      <alignment horizontal="right" vertical="center"/>
    </xf>
    <xf numFmtId="0" fontId="2" fillId="6" borderId="19" xfId="1" applyFont="1" applyFill="1" applyBorder="1" applyAlignment="1" applyProtection="1">
      <alignment horizontal="center" vertical="center"/>
    </xf>
    <xf numFmtId="0" fontId="4" fillId="13" borderId="15" xfId="1" applyFont="1" applyFill="1" applyBorder="1" applyAlignment="1" applyProtection="1">
      <alignment horizontal="center" vertical="center" wrapText="1"/>
    </xf>
    <xf numFmtId="0" fontId="4" fillId="0" borderId="0" xfId="1" applyFont="1" applyAlignment="1" applyProtection="1">
      <alignment horizontal="left" vertical="top" wrapText="1"/>
    </xf>
    <xf numFmtId="0" fontId="4" fillId="4" borderId="15" xfId="1" applyFont="1" applyFill="1" applyBorder="1" applyAlignment="1" applyProtection="1">
      <alignment horizontal="left" vertical="center" wrapText="1"/>
    </xf>
    <xf numFmtId="0" fontId="4" fillId="0" borderId="15" xfId="1" applyFont="1" applyBorder="1" applyAlignment="1" applyProtection="1">
      <alignment wrapText="1"/>
    </xf>
    <xf numFmtId="49" fontId="4" fillId="0" borderId="15" xfId="1" applyNumberFormat="1" applyFont="1" applyBorder="1" applyAlignment="1" applyProtection="1">
      <alignment horizontal="left" vertical="top" wrapText="1"/>
    </xf>
    <xf numFmtId="0" fontId="4" fillId="0" borderId="26" xfId="1" applyFont="1" applyBorder="1" applyAlignment="1" applyProtection="1">
      <alignment horizontal="left" vertical="top" wrapText="1"/>
    </xf>
    <xf numFmtId="0" fontId="4" fillId="0" borderId="26" xfId="1" applyFont="1" applyBorder="1" applyAlignment="1" applyProtection="1"/>
    <xf numFmtId="0" fontId="12" fillId="0" borderId="0" xfId="1" applyAlignment="1" applyProtection="1"/>
    <xf numFmtId="0" fontId="2" fillId="0" borderId="17" xfId="1" applyFont="1" applyBorder="1" applyAlignment="1" applyProtection="1"/>
    <xf numFmtId="0" fontId="4" fillId="0" borderId="14" xfId="1" applyFont="1" applyBorder="1" applyAlignment="1" applyProtection="1">
      <alignment horizontal="left" vertical="center" wrapText="1"/>
    </xf>
    <xf numFmtId="49" fontId="4" fillId="0" borderId="14" xfId="1" applyNumberFormat="1" applyFont="1" applyBorder="1" applyAlignment="1" applyProtection="1">
      <alignment vertical="top" wrapText="1"/>
    </xf>
    <xf numFmtId="0" fontId="4" fillId="13" borderId="14" xfId="1" applyFont="1" applyFill="1" applyBorder="1" applyAlignment="1" applyProtection="1">
      <alignment horizontal="center" vertical="center" wrapText="1"/>
    </xf>
    <xf numFmtId="0" fontId="4" fillId="0" borderId="14" xfId="1" applyFont="1" applyBorder="1" applyAlignment="1" applyProtection="1">
      <alignment horizontal="center" wrapText="1"/>
    </xf>
    <xf numFmtId="0" fontId="3" fillId="0" borderId="21" xfId="1" applyFont="1" applyBorder="1" applyAlignment="1" applyProtection="1">
      <alignment horizontal="center"/>
    </xf>
    <xf numFmtId="0" fontId="4" fillId="3" borderId="15" xfId="1" applyFont="1" applyFill="1" applyBorder="1" applyAlignment="1" applyProtection="1">
      <alignment horizontal="center" wrapText="1"/>
    </xf>
    <xf numFmtId="0" fontId="2" fillId="0" borderId="17" xfId="2" applyFont="1" applyFill="1" applyBorder="1" applyAlignment="1">
      <alignment horizontal="center" vertical="center"/>
      <protection locked="0"/>
    </xf>
    <xf numFmtId="0" fontId="6" fillId="0" borderId="15" xfId="1" applyFont="1" applyFill="1" applyBorder="1" applyAlignment="1" applyProtection="1">
      <alignment vertical="center"/>
    </xf>
    <xf numFmtId="0" fontId="6" fillId="0" borderId="15" xfId="1" applyFont="1" applyFill="1" applyBorder="1" applyAlignment="1" applyProtection="1">
      <alignment horizontal="center" vertical="center"/>
    </xf>
    <xf numFmtId="49" fontId="4" fillId="0" borderId="15" xfId="1" applyNumberFormat="1" applyFont="1" applyFill="1" applyBorder="1" applyAlignment="1" applyProtection="1">
      <alignment horizontal="center" vertical="top" wrapText="1"/>
    </xf>
    <xf numFmtId="0" fontId="6" fillId="0" borderId="15" xfId="1" applyFont="1" applyFill="1" applyBorder="1" applyAlignment="1" applyProtection="1">
      <alignment horizontal="center" vertical="center" wrapText="1"/>
    </xf>
    <xf numFmtId="0" fontId="2" fillId="0" borderId="18" xfId="2" applyFont="1" applyFill="1" applyBorder="1" applyAlignment="1">
      <alignment horizontal="center" vertical="center"/>
      <protection locked="0"/>
    </xf>
    <xf numFmtId="0" fontId="7" fillId="11" borderId="18" xfId="2" applyFont="1" applyFill="1" applyBorder="1" applyAlignment="1" applyProtection="1">
      <alignment horizontal="center" vertical="center"/>
    </xf>
    <xf numFmtId="0" fontId="4" fillId="3" borderId="11" xfId="1" applyFont="1" applyFill="1" applyBorder="1" applyAlignment="1" applyProtection="1">
      <alignment horizontal="center"/>
    </xf>
    <xf numFmtId="0" fontId="2" fillId="3" borderId="12" xfId="2" applyFont="1" applyFill="1" applyBorder="1" applyAlignment="1">
      <alignment horizontal="center" vertical="center"/>
      <protection locked="0"/>
    </xf>
    <xf numFmtId="0" fontId="6" fillId="0" borderId="15" xfId="1" applyFont="1" applyBorder="1" applyAlignment="1" applyProtection="1">
      <alignment vertical="center"/>
    </xf>
    <xf numFmtId="0" fontId="2" fillId="0" borderId="18" xfId="2" applyFont="1" applyBorder="1" applyAlignment="1">
      <alignment horizontal="center" vertical="center"/>
      <protection locked="0"/>
    </xf>
    <xf numFmtId="49" fontId="3" fillId="14" borderId="17" xfId="2" applyNumberFormat="1" applyFont="1" applyFill="1" applyBorder="1" applyAlignment="1" applyProtection="1">
      <alignment horizontal="left" vertical="center"/>
    </xf>
    <xf numFmtId="0" fontId="3" fillId="14" borderId="18" xfId="2" applyFont="1" applyFill="1" applyBorder="1" applyAlignment="1" applyProtection="1">
      <alignment horizontal="center" vertical="center"/>
    </xf>
    <xf numFmtId="0" fontId="3" fillId="0" borderId="18" xfId="1" applyFont="1" applyBorder="1" applyAlignment="1" applyProtection="1">
      <alignment horizontal="center"/>
    </xf>
    <xf numFmtId="0" fontId="2" fillId="6" borderId="27" xfId="1" applyFont="1" applyFill="1" applyBorder="1" applyAlignment="1" applyProtection="1">
      <alignment horizontal="right" vertical="center"/>
    </xf>
    <xf numFmtId="0" fontId="2" fillId="6" borderId="19" xfId="1" applyFont="1" applyFill="1" applyBorder="1" applyAlignment="1" applyProtection="1">
      <alignment horizontal="right" vertical="center"/>
    </xf>
    <xf numFmtId="0" fontId="2" fillId="6" borderId="28" xfId="1" applyFont="1" applyFill="1" applyBorder="1" applyAlignment="1" applyProtection="1">
      <alignment horizontal="right" vertical="center"/>
    </xf>
    <xf numFmtId="0" fontId="2" fillId="6" borderId="37" xfId="1" applyFont="1" applyFill="1" applyBorder="1" applyAlignment="1" applyProtection="1">
      <alignment horizontal="right" vertical="center"/>
    </xf>
    <xf numFmtId="0" fontId="2" fillId="6" borderId="38" xfId="1" applyFont="1" applyFill="1" applyBorder="1" applyAlignment="1" applyProtection="1">
      <alignment horizontal="right" vertical="center"/>
    </xf>
    <xf numFmtId="0" fontId="2" fillId="6" borderId="42" xfId="1" applyFont="1" applyFill="1" applyBorder="1" applyAlignment="1" applyProtection="1">
      <alignment horizontal="right" vertical="center"/>
    </xf>
    <xf numFmtId="0" fontId="2" fillId="0" borderId="17" xfId="2" applyFont="1" applyBorder="1" applyAlignment="1">
      <alignment horizontal="center" vertical="center"/>
      <protection locked="0"/>
    </xf>
    <xf numFmtId="49" fontId="4" fillId="3" borderId="26" xfId="1" applyNumberFormat="1" applyFont="1" applyFill="1" applyBorder="1" applyAlignment="1" applyProtection="1">
      <alignment vertical="top" wrapText="1"/>
    </xf>
    <xf numFmtId="0" fontId="4" fillId="3" borderId="26" xfId="1" applyFont="1" applyFill="1" applyBorder="1" applyAlignment="1" applyProtection="1">
      <alignment horizontal="center" vertical="center"/>
    </xf>
    <xf numFmtId="0" fontId="4" fillId="3" borderId="21" xfId="1" applyFont="1" applyFill="1" applyBorder="1" applyAlignment="1" applyProtection="1">
      <alignment horizontal="center"/>
    </xf>
    <xf numFmtId="0" fontId="4" fillId="17" borderId="23" xfId="1" applyFont="1" applyFill="1" applyBorder="1" applyAlignment="1" applyProtection="1">
      <alignment horizontal="center" vertical="center" wrapText="1"/>
    </xf>
    <xf numFmtId="0" fontId="4" fillId="17" borderId="23" xfId="1" applyFont="1" applyFill="1" applyBorder="1" applyAlignment="1" applyProtection="1">
      <alignment horizontal="center" vertical="center"/>
    </xf>
    <xf numFmtId="0" fontId="4" fillId="17" borderId="22" xfId="1" applyFont="1" applyFill="1" applyBorder="1" applyAlignment="1" applyProtection="1">
      <alignment horizontal="center" vertical="center" wrapText="1"/>
    </xf>
    <xf numFmtId="49" fontId="4" fillId="17" borderId="23" xfId="1" applyNumberFormat="1" applyFont="1" applyFill="1" applyBorder="1" applyAlignment="1" applyProtection="1">
      <alignment horizontal="center" vertical="top" wrapText="1"/>
    </xf>
    <xf numFmtId="0" fontId="4" fillId="17" borderId="15" xfId="1" applyFont="1" applyFill="1" applyBorder="1" applyAlignment="1" applyProtection="1">
      <alignment horizontal="center"/>
    </xf>
    <xf numFmtId="0" fontId="2" fillId="17" borderId="18" xfId="1" applyFont="1" applyFill="1" applyBorder="1" applyAlignment="1" applyProtection="1">
      <alignment horizontal="center"/>
    </xf>
    <xf numFmtId="0" fontId="2" fillId="17" borderId="17" xfId="0" applyFont="1" applyFill="1" applyBorder="1" applyAlignment="1">
      <alignment horizontal="center" vertical="center"/>
    </xf>
    <xf numFmtId="0" fontId="6" fillId="17" borderId="15" xfId="0" applyFont="1" applyFill="1" applyBorder="1" applyAlignment="1"/>
    <xf numFmtId="0" fontId="6" fillId="17" borderId="15" xfId="0" applyFont="1" applyFill="1" applyBorder="1" applyAlignment="1">
      <alignment horizontal="center" vertical="center"/>
    </xf>
    <xf numFmtId="0" fontId="4" fillId="17" borderId="15" xfId="1" applyFont="1" applyFill="1" applyBorder="1" applyAlignment="1" applyProtection="1">
      <alignment horizontal="center" vertical="top" wrapText="1"/>
    </xf>
    <xf numFmtId="0" fontId="4" fillId="17" borderId="15" xfId="1" applyFont="1" applyFill="1" applyBorder="1" applyAlignment="1" applyProtection="1">
      <alignment horizontal="center" vertical="center"/>
    </xf>
    <xf numFmtId="0" fontId="4" fillId="17" borderId="15" xfId="1" applyFont="1" applyFill="1" applyBorder="1" applyAlignment="1" applyProtection="1">
      <alignment horizontal="left" vertical="center" wrapText="1"/>
    </xf>
    <xf numFmtId="0" fontId="2" fillId="0" borderId="15" xfId="1" applyFont="1" applyBorder="1" applyAlignment="1" applyProtection="1">
      <alignment horizontal="center" vertical="center"/>
    </xf>
    <xf numFmtId="0" fontId="4" fillId="3" borderId="23" xfId="1" applyFont="1" applyFill="1" applyBorder="1" applyAlignment="1" applyProtection="1">
      <alignment horizontal="center"/>
    </xf>
    <xf numFmtId="0" fontId="4" fillId="0" borderId="15" xfId="1" applyFont="1" applyBorder="1" applyAlignment="1" applyProtection="1">
      <alignment horizontal="left"/>
    </xf>
    <xf numFmtId="166" fontId="4" fillId="3" borderId="15" xfId="1" applyNumberFormat="1" applyFont="1" applyFill="1" applyBorder="1" applyAlignment="1" applyProtection="1">
      <alignment horizontal="center"/>
    </xf>
    <xf numFmtId="166" fontId="4" fillId="3" borderId="15" xfId="1" applyNumberFormat="1" applyFont="1" applyFill="1" applyBorder="1" applyAlignment="1" applyProtection="1">
      <alignment horizontal="center" vertical="center" wrapText="1"/>
    </xf>
    <xf numFmtId="166" fontId="4" fillId="13" borderId="15" xfId="1" applyNumberFormat="1" applyFont="1" applyFill="1" applyBorder="1" applyAlignment="1" applyProtection="1">
      <alignment horizontal="left" vertical="center"/>
    </xf>
    <xf numFmtId="166" fontId="4" fillId="3" borderId="15" xfId="1" applyNumberFormat="1" applyFont="1" applyFill="1" applyBorder="1" applyAlignment="1" applyProtection="1">
      <alignment horizontal="center" vertical="center"/>
    </xf>
    <xf numFmtId="166" fontId="4" fillId="0" borderId="15" xfId="1" applyNumberFormat="1" applyFont="1" applyBorder="1" applyAlignment="1" applyProtection="1">
      <alignment horizontal="center"/>
    </xf>
    <xf numFmtId="166" fontId="19" fillId="0" borderId="15" xfId="1" applyNumberFormat="1" applyFont="1" applyFill="1" applyBorder="1" applyAlignment="1" applyProtection="1">
      <alignment horizontal="center" wrapText="1"/>
    </xf>
    <xf numFmtId="166" fontId="2" fillId="0" borderId="15" xfId="1" applyNumberFormat="1" applyFont="1" applyBorder="1" applyAlignment="1" applyProtection="1">
      <alignment horizontal="center"/>
    </xf>
    <xf numFmtId="49" fontId="4" fillId="3" borderId="15" xfId="1" applyNumberFormat="1" applyFont="1" applyFill="1" applyBorder="1" applyAlignment="1" applyProtection="1">
      <alignment horizontal="left" wrapText="1"/>
    </xf>
    <xf numFmtId="14" fontId="4" fillId="3" borderId="15" xfId="1" applyNumberFormat="1" applyFont="1" applyFill="1" applyBorder="1" applyAlignment="1" applyProtection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5" fillId="17" borderId="15" xfId="3" applyFont="1" applyFill="1" applyBorder="1" applyAlignment="1" applyProtection="1">
      <alignment horizontal="center"/>
    </xf>
    <xf numFmtId="0" fontId="5" fillId="17" borderId="15" xfId="3" applyFont="1" applyFill="1" applyBorder="1" applyAlignment="1" applyProtection="1">
      <alignment horizontal="center" vertical="center"/>
    </xf>
    <xf numFmtId="49" fontId="4" fillId="17" borderId="15" xfId="1" applyNumberFormat="1" applyFont="1" applyFill="1" applyBorder="1" applyAlignment="1" applyProtection="1">
      <alignment horizontal="center" vertical="top" wrapText="1"/>
    </xf>
    <xf numFmtId="0" fontId="4" fillId="17" borderId="15" xfId="1" applyFont="1" applyFill="1" applyBorder="1" applyAlignment="1" applyProtection="1">
      <alignment horizontal="center" vertical="center" wrapText="1"/>
    </xf>
    <xf numFmtId="0" fontId="2" fillId="17" borderId="15" xfId="0" applyFont="1" applyFill="1" applyBorder="1" applyAlignment="1">
      <alignment horizontal="center" vertical="center"/>
    </xf>
    <xf numFmtId="0" fontId="2" fillId="17" borderId="15" xfId="1" applyFont="1" applyFill="1" applyBorder="1" applyAlignment="1" applyProtection="1">
      <alignment horizontal="center"/>
    </xf>
    <xf numFmtId="0" fontId="4" fillId="17" borderId="15" xfId="1" applyFont="1" applyFill="1" applyBorder="1" applyAlignment="1" applyProtection="1">
      <alignment horizontal="left"/>
    </xf>
    <xf numFmtId="49" fontId="2" fillId="3" borderId="15" xfId="1" applyNumberFormat="1" applyFont="1" applyFill="1" applyBorder="1" applyAlignment="1" applyProtection="1">
      <alignment horizontal="left" vertical="center"/>
    </xf>
    <xf numFmtId="14" fontId="4" fillId="3" borderId="15" xfId="1" applyNumberFormat="1" applyFont="1" applyFill="1" applyBorder="1" applyAlignment="1" applyProtection="1">
      <alignment horizontal="center"/>
    </xf>
    <xf numFmtId="0" fontId="4" fillId="17" borderId="15" xfId="4" applyFont="1" applyFill="1" applyBorder="1" applyAlignment="1" applyProtection="1">
      <alignment vertical="center" wrapText="1"/>
    </xf>
    <xf numFmtId="0" fontId="6" fillId="17" borderId="15" xfId="1" applyFont="1" applyFill="1" applyBorder="1" applyAlignment="1" applyProtection="1">
      <alignment vertical="center"/>
    </xf>
    <xf numFmtId="0" fontId="5" fillId="17" borderId="23" xfId="3" applyFont="1" applyFill="1" applyBorder="1" applyAlignment="1" applyProtection="1"/>
    <xf numFmtId="0" fontId="8" fillId="17" borderId="15" xfId="1" applyFont="1" applyFill="1" applyBorder="1" applyAlignment="1" applyProtection="1">
      <alignment horizontal="center" vertical="center" wrapText="1"/>
    </xf>
    <xf numFmtId="0" fontId="8" fillId="17" borderId="15" xfId="1" applyFont="1" applyFill="1" applyBorder="1" applyAlignment="1" applyProtection="1">
      <alignment horizontal="left" vertical="center" wrapText="1"/>
    </xf>
    <xf numFmtId="49" fontId="3" fillId="18" borderId="17" xfId="2" applyNumberFormat="1" applyFont="1" applyFill="1" applyBorder="1" applyAlignment="1" applyProtection="1">
      <alignment horizontal="left" vertical="center"/>
    </xf>
    <xf numFmtId="0" fontId="3" fillId="18" borderId="18" xfId="2" applyFont="1" applyFill="1" applyBorder="1" applyAlignment="1" applyProtection="1">
      <alignment horizontal="center" vertical="center"/>
    </xf>
    <xf numFmtId="0" fontId="2" fillId="17" borderId="0" xfId="1" applyFont="1" applyFill="1" applyBorder="1" applyAlignment="1" applyProtection="1">
      <alignment horizontal="right" vertical="center"/>
    </xf>
    <xf numFmtId="0" fontId="3" fillId="17" borderId="0" xfId="2" applyFont="1" applyFill="1" applyBorder="1" applyAlignment="1" applyProtection="1">
      <alignment horizontal="center" vertical="center"/>
    </xf>
    <xf numFmtId="0" fontId="3" fillId="17" borderId="0" xfId="1" applyFont="1" applyFill="1" applyBorder="1" applyAlignment="1" applyProtection="1">
      <alignment horizontal="center" vertical="center"/>
    </xf>
    <xf numFmtId="0" fontId="2" fillId="17" borderId="0" xfId="1" applyFont="1" applyFill="1" applyBorder="1" applyAlignment="1" applyProtection="1">
      <alignment horizontal="center" vertical="center"/>
    </xf>
    <xf numFmtId="0" fontId="2" fillId="0" borderId="0" xfId="1" applyFont="1" applyBorder="1" applyAlignment="1" applyProtection="1">
      <alignment horizontal="left"/>
    </xf>
    <xf numFmtId="0" fontId="2" fillId="19" borderId="41" xfId="1" applyFont="1" applyFill="1" applyBorder="1" applyAlignment="1" applyProtection="1">
      <alignment horizontal="center" vertical="center"/>
    </xf>
    <xf numFmtId="0" fontId="2" fillId="19" borderId="40" xfId="1" applyFont="1" applyFill="1" applyBorder="1" applyAlignment="1" applyProtection="1">
      <alignment horizontal="right" vertical="center"/>
    </xf>
    <xf numFmtId="0" fontId="3" fillId="19" borderId="40" xfId="2" applyFont="1" applyFill="1" applyBorder="1" applyAlignment="1" applyProtection="1">
      <alignment horizontal="center" vertical="center"/>
    </xf>
    <xf numFmtId="0" fontId="3" fillId="19" borderId="0" xfId="1" applyFont="1" applyFill="1" applyBorder="1" applyAlignment="1" applyProtection="1">
      <alignment horizontal="center" vertical="center"/>
    </xf>
    <xf numFmtId="0" fontId="2" fillId="19" borderId="47" xfId="1" applyFont="1" applyFill="1" applyBorder="1" applyAlignment="1" applyProtection="1">
      <alignment horizontal="right" vertical="center"/>
    </xf>
    <xf numFmtId="0" fontId="3" fillId="19" borderId="43" xfId="1" applyFont="1" applyFill="1" applyBorder="1" applyAlignment="1" applyProtection="1">
      <alignment horizontal="center" vertical="center"/>
    </xf>
    <xf numFmtId="0" fontId="2" fillId="19" borderId="33" xfId="1" applyFont="1" applyFill="1" applyBorder="1" applyAlignment="1" applyProtection="1">
      <alignment horizontal="center" vertical="center"/>
    </xf>
    <xf numFmtId="0" fontId="2" fillId="19" borderId="34" xfId="1" applyFont="1" applyFill="1" applyBorder="1" applyAlignment="1" applyProtection="1">
      <alignment horizontal="right" vertical="center"/>
    </xf>
    <xf numFmtId="0" fontId="3" fillId="19" borderId="34" xfId="2" applyFont="1" applyFill="1" applyBorder="1" applyAlignment="1" applyProtection="1">
      <alignment horizontal="center" vertical="center"/>
    </xf>
    <xf numFmtId="0" fontId="3" fillId="19" borderId="19" xfId="1" applyFont="1" applyFill="1" applyBorder="1" applyAlignment="1" applyProtection="1">
      <alignment horizontal="center" vertical="center"/>
    </xf>
    <xf numFmtId="0" fontId="2" fillId="19" borderId="35" xfId="1" applyFont="1" applyFill="1" applyBorder="1" applyAlignment="1" applyProtection="1">
      <alignment horizontal="right" vertical="center"/>
    </xf>
    <xf numFmtId="0" fontId="3" fillId="19" borderId="29" xfId="1" applyFont="1" applyFill="1" applyBorder="1" applyAlignment="1" applyProtection="1">
      <alignment horizontal="center" vertical="center"/>
    </xf>
    <xf numFmtId="0" fontId="2" fillId="17" borderId="15" xfId="1" applyFont="1" applyFill="1" applyBorder="1" applyAlignment="1" applyProtection="1">
      <alignment horizontal="left"/>
    </xf>
    <xf numFmtId="0" fontId="2" fillId="17" borderId="15" xfId="1" applyFont="1" applyFill="1" applyBorder="1" applyAlignment="1" applyProtection="1"/>
    <xf numFmtId="0" fontId="2" fillId="17" borderId="15" xfId="1" applyFont="1" applyFill="1" applyBorder="1" applyAlignment="1" applyProtection="1">
      <alignment horizontal="center" vertical="center"/>
    </xf>
    <xf numFmtId="0" fontId="2" fillId="17" borderId="15" xfId="2" applyFont="1" applyFill="1" applyBorder="1" applyAlignment="1" applyProtection="1">
      <alignment horizontal="center" vertical="center"/>
    </xf>
    <xf numFmtId="0" fontId="2" fillId="17" borderId="15" xfId="1" applyFont="1" applyFill="1" applyBorder="1" applyAlignment="1" applyProtection="1">
      <alignment vertical="center"/>
    </xf>
    <xf numFmtId="0" fontId="4" fillId="17" borderId="14" xfId="1" applyFont="1" applyFill="1" applyBorder="1" applyAlignment="1" applyProtection="1">
      <alignment horizontal="left" vertical="center" wrapText="1"/>
    </xf>
    <xf numFmtId="0" fontId="2" fillId="17" borderId="15" xfId="0" applyFont="1" applyFill="1" applyBorder="1" applyAlignment="1"/>
    <xf numFmtId="0" fontId="4" fillId="17" borderId="15" xfId="1" applyFont="1" applyFill="1" applyBorder="1" applyAlignment="1" applyProtection="1">
      <alignment horizontal="left" vertical="center"/>
    </xf>
    <xf numFmtId="166" fontId="4" fillId="17" borderId="15" xfId="1" applyNumberFormat="1" applyFont="1" applyFill="1" applyBorder="1" applyAlignment="1" applyProtection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4" fillId="3" borderId="11" xfId="1" applyFont="1" applyFill="1" applyBorder="1" applyAlignment="1" applyProtection="1">
      <alignment horizontal="center" vertical="top" wrapText="1"/>
    </xf>
    <xf numFmtId="0" fontId="2" fillId="3" borderId="12" xfId="1" applyFont="1" applyFill="1" applyBorder="1" applyAlignment="1" applyProtection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9" fillId="3" borderId="15" xfId="1" applyFont="1" applyFill="1" applyBorder="1" applyAlignment="1" applyProtection="1">
      <alignment horizontal="center" vertical="top" wrapText="1"/>
    </xf>
    <xf numFmtId="49" fontId="4" fillId="3" borderId="15" xfId="1" applyNumberFormat="1" applyFont="1" applyFill="1" applyBorder="1" applyAlignment="1" applyProtection="1">
      <alignment horizontal="center"/>
    </xf>
    <xf numFmtId="14" fontId="4" fillId="17" borderId="15" xfId="1" applyNumberFormat="1" applyFont="1" applyFill="1" applyBorder="1" applyAlignment="1" applyProtection="1">
      <alignment horizontal="center" vertical="center"/>
    </xf>
    <xf numFmtId="0" fontId="4" fillId="13" borderId="23" xfId="1" applyFont="1" applyFill="1" applyBorder="1" applyAlignment="1" applyProtection="1">
      <alignment horizontal="center" vertical="center"/>
    </xf>
    <xf numFmtId="0" fontId="2" fillId="6" borderId="27" xfId="1" applyFont="1" applyFill="1" applyBorder="1" applyAlignment="1" applyProtection="1">
      <alignment horizontal="right" vertical="center"/>
    </xf>
    <xf numFmtId="0" fontId="2" fillId="6" borderId="19" xfId="1" applyFont="1" applyFill="1" applyBorder="1" applyAlignment="1" applyProtection="1">
      <alignment horizontal="right" vertical="center"/>
    </xf>
    <xf numFmtId="0" fontId="2" fillId="6" borderId="28" xfId="1" applyFont="1" applyFill="1" applyBorder="1" applyAlignment="1" applyProtection="1">
      <alignment horizontal="right" vertical="center"/>
    </xf>
    <xf numFmtId="0" fontId="3" fillId="2" borderId="1" xfId="2" applyFont="1" applyFill="1" applyBorder="1" applyAlignment="1" applyProtection="1">
      <alignment horizontal="center" vertical="center"/>
    </xf>
    <xf numFmtId="0" fontId="3" fillId="2" borderId="2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/>
    </xf>
    <xf numFmtId="0" fontId="2" fillId="3" borderId="15" xfId="3" applyFont="1" applyFill="1" applyBorder="1" applyAlignment="1" applyProtection="1">
      <alignment horizontal="center" vertical="center"/>
    </xf>
    <xf numFmtId="0" fontId="3" fillId="16" borderId="10" xfId="2" applyFont="1" applyFill="1" applyBorder="1" applyAlignment="1" applyProtection="1">
      <alignment horizontal="center" vertical="center"/>
    </xf>
    <xf numFmtId="0" fontId="3" fillId="16" borderId="11" xfId="2" applyFont="1" applyFill="1" applyBorder="1" applyAlignment="1" applyProtection="1">
      <alignment horizontal="center" vertical="center"/>
    </xf>
    <xf numFmtId="0" fontId="3" fillId="16" borderId="12" xfId="2" applyFont="1" applyFill="1" applyBorder="1" applyAlignment="1" applyProtection="1">
      <alignment horizontal="center" vertical="center"/>
    </xf>
    <xf numFmtId="0" fontId="21" fillId="17" borderId="15" xfId="0" applyFont="1" applyFill="1" applyBorder="1" applyAlignment="1">
      <alignment horizontal="center" vertical="center"/>
    </xf>
    <xf numFmtId="0" fontId="20" fillId="0" borderId="15" xfId="1" applyFont="1" applyBorder="1" applyAlignment="1" applyProtection="1">
      <alignment horizontal="center"/>
    </xf>
    <xf numFmtId="0" fontId="21" fillId="0" borderId="15" xfId="0" applyFont="1" applyBorder="1" applyAlignment="1">
      <alignment horizontal="center" vertical="center"/>
    </xf>
    <xf numFmtId="0" fontId="2" fillId="3" borderId="15" xfId="1" applyFont="1" applyFill="1" applyBorder="1" applyAlignment="1" applyProtection="1">
      <alignment horizontal="left" vertical="center" wrapText="1"/>
    </xf>
    <xf numFmtId="0" fontId="2" fillId="3" borderId="15" xfId="2" applyFont="1" applyFill="1" applyBorder="1" applyAlignment="1">
      <alignment horizontal="center" vertical="center"/>
      <protection locked="0"/>
    </xf>
    <xf numFmtId="0" fontId="2" fillId="3" borderId="15" xfId="3" applyFont="1" applyFill="1" applyBorder="1" applyAlignment="1" applyProtection="1">
      <alignment horizontal="center"/>
    </xf>
    <xf numFmtId="0" fontId="21" fillId="3" borderId="15" xfId="0" applyFont="1" applyFill="1" applyBorder="1" applyAlignment="1">
      <alignment horizontal="center" vertical="center"/>
    </xf>
    <xf numFmtId="0" fontId="4" fillId="0" borderId="15" xfId="1" applyFont="1" applyBorder="1" applyAlignment="1" applyProtection="1">
      <alignment horizontal="center" vertical="center"/>
    </xf>
    <xf numFmtId="0" fontId="15" fillId="0" borderId="15" xfId="5" applyFont="1" applyBorder="1" applyAlignment="1">
      <alignment horizontal="center" vertical="center" wrapText="1"/>
    </xf>
    <xf numFmtId="49" fontId="15" fillId="0" borderId="15" xfId="5" applyNumberFormat="1" applyFont="1" applyBorder="1" applyAlignment="1">
      <alignment vertical="top" wrapText="1"/>
    </xf>
    <xf numFmtId="0" fontId="4" fillId="17" borderId="15" xfId="1" applyFont="1" applyFill="1" applyBorder="1" applyAlignment="1" applyProtection="1">
      <alignment vertical="center" wrapText="1"/>
    </xf>
    <xf numFmtId="0" fontId="4" fillId="17" borderId="23" xfId="1" applyFont="1" applyFill="1" applyBorder="1" applyAlignment="1" applyProtection="1">
      <alignment horizontal="left" vertical="center" wrapText="1"/>
    </xf>
    <xf numFmtId="0" fontId="2" fillId="17" borderId="15" xfId="0" applyFont="1" applyFill="1" applyBorder="1" applyAlignment="1">
      <alignment horizontal="left" vertical="center"/>
    </xf>
    <xf numFmtId="0" fontId="21" fillId="17" borderId="15" xfId="0" applyFont="1" applyFill="1" applyBorder="1" applyAlignment="1">
      <alignment horizontal="left" vertical="center"/>
    </xf>
    <xf numFmtId="0" fontId="11" fillId="17" borderId="15" xfId="0" applyFont="1" applyFill="1" applyBorder="1" applyAlignment="1"/>
    <xf numFmtId="0" fontId="5" fillId="17" borderId="15" xfId="3" applyFont="1" applyFill="1" applyBorder="1" applyAlignment="1" applyProtection="1"/>
    <xf numFmtId="0" fontId="2" fillId="17" borderId="15" xfId="3" applyFont="1" applyFill="1" applyBorder="1" applyAlignment="1" applyProtection="1"/>
    <xf numFmtId="0" fontId="6" fillId="17" borderId="11" xfId="0" applyFont="1" applyFill="1" applyBorder="1" applyAlignment="1"/>
    <xf numFmtId="0" fontId="2" fillId="17" borderId="15" xfId="1" applyFont="1" applyFill="1" applyBorder="1" applyAlignment="1" applyProtection="1">
      <alignment horizontal="left" vertical="center"/>
    </xf>
    <xf numFmtId="0" fontId="15" fillId="17" borderId="15" xfId="5" applyFont="1" applyFill="1" applyBorder="1" applyAlignment="1">
      <alignment horizontal="left" vertical="center" wrapText="1"/>
    </xf>
    <xf numFmtId="0" fontId="3" fillId="2" borderId="50" xfId="2" applyFont="1" applyFill="1" applyBorder="1" applyAlignment="1" applyProtection="1">
      <alignment horizontal="center" vertical="center"/>
    </xf>
    <xf numFmtId="0" fontId="3" fillId="2" borderId="51" xfId="2" applyFont="1" applyFill="1" applyBorder="1" applyAlignment="1" applyProtection="1">
      <alignment horizontal="center" vertical="center"/>
    </xf>
    <xf numFmtId="0" fontId="3" fillId="2" borderId="52" xfId="2" applyFont="1" applyFill="1" applyBorder="1" applyAlignment="1" applyProtection="1">
      <alignment horizontal="center" vertical="center"/>
    </xf>
    <xf numFmtId="0" fontId="3" fillId="17" borderId="10" xfId="2" applyFont="1" applyFill="1" applyBorder="1" applyAlignment="1" applyProtection="1">
      <alignment horizontal="center" vertical="center"/>
    </xf>
    <xf numFmtId="0" fontId="3" fillId="17" borderId="11" xfId="2" applyFont="1" applyFill="1" applyBorder="1" applyAlignment="1" applyProtection="1">
      <alignment horizontal="center" vertical="center"/>
    </xf>
    <xf numFmtId="0" fontId="3" fillId="17" borderId="12" xfId="2" applyFont="1" applyFill="1" applyBorder="1" applyAlignment="1" applyProtection="1">
      <alignment horizontal="center" vertical="center"/>
    </xf>
    <xf numFmtId="0" fontId="2" fillId="0" borderId="19" xfId="1" applyFont="1" applyBorder="1" applyAlignment="1" applyProtection="1">
      <alignment horizontal="center"/>
    </xf>
    <xf numFmtId="0" fontId="3" fillId="2" borderId="4" xfId="2" applyFont="1" applyFill="1" applyBorder="1" applyAlignment="1" applyProtection="1">
      <alignment horizontal="center" vertical="center"/>
    </xf>
    <xf numFmtId="0" fontId="3" fillId="2" borderId="5" xfId="2" applyFont="1" applyFill="1" applyBorder="1" applyAlignment="1" applyProtection="1">
      <alignment horizontal="center" vertical="center"/>
    </xf>
    <xf numFmtId="0" fontId="3" fillId="2" borderId="6" xfId="2" applyFont="1" applyFill="1" applyBorder="1" applyAlignment="1" applyProtection="1">
      <alignment horizontal="center" vertical="center"/>
    </xf>
    <xf numFmtId="0" fontId="3" fillId="2" borderId="37" xfId="2" applyFont="1" applyFill="1" applyBorder="1" applyAlignment="1" applyProtection="1">
      <alignment horizontal="center" vertical="center"/>
    </xf>
    <xf numFmtId="0" fontId="3" fillId="2" borderId="38" xfId="2" applyFont="1" applyFill="1" applyBorder="1" applyAlignment="1" applyProtection="1">
      <alignment horizontal="center" vertical="center"/>
    </xf>
    <xf numFmtId="0" fontId="3" fillId="2" borderId="39" xfId="2" applyFont="1" applyFill="1" applyBorder="1" applyAlignment="1" applyProtection="1">
      <alignment horizontal="center" vertical="center"/>
    </xf>
    <xf numFmtId="0" fontId="2" fillId="6" borderId="27" xfId="1" applyFont="1" applyFill="1" applyBorder="1" applyAlignment="1" applyProtection="1">
      <alignment horizontal="right" vertical="center"/>
    </xf>
    <xf numFmtId="0" fontId="2" fillId="6" borderId="19" xfId="1" applyFont="1" applyFill="1" applyBorder="1" applyAlignment="1" applyProtection="1">
      <alignment horizontal="right" vertical="center"/>
    </xf>
    <xf numFmtId="0" fontId="2" fillId="6" borderId="28" xfId="1" applyFont="1" applyFill="1" applyBorder="1" applyAlignment="1" applyProtection="1">
      <alignment horizontal="right" vertical="center"/>
    </xf>
    <xf numFmtId="0" fontId="2" fillId="6" borderId="20" xfId="1" applyFont="1" applyFill="1" applyBorder="1" applyAlignment="1" applyProtection="1">
      <alignment horizontal="right" vertical="center"/>
    </xf>
    <xf numFmtId="0" fontId="2" fillId="6" borderId="26" xfId="1" applyFont="1" applyFill="1" applyBorder="1" applyAlignment="1" applyProtection="1">
      <alignment horizontal="right" vertical="center"/>
    </xf>
    <xf numFmtId="0" fontId="3" fillId="2" borderId="30" xfId="2" applyFont="1" applyFill="1" applyBorder="1" applyAlignment="1" applyProtection="1">
      <alignment horizontal="center" vertical="center"/>
    </xf>
    <xf numFmtId="0" fontId="3" fillId="2" borderId="25" xfId="2" applyFont="1" applyFill="1" applyBorder="1" applyAlignment="1" applyProtection="1">
      <alignment horizontal="center" vertical="center"/>
    </xf>
    <xf numFmtId="0" fontId="3" fillId="2" borderId="31" xfId="2" applyFont="1" applyFill="1" applyBorder="1" applyAlignment="1" applyProtection="1">
      <alignment horizontal="center" vertical="center"/>
    </xf>
    <xf numFmtId="0" fontId="2" fillId="0" borderId="25" xfId="1" applyFont="1" applyBorder="1" applyAlignment="1" applyProtection="1">
      <alignment horizontal="center"/>
    </xf>
    <xf numFmtId="0" fontId="2" fillId="0" borderId="30" xfId="1" applyFont="1" applyBorder="1" applyAlignment="1" applyProtection="1">
      <alignment horizontal="center"/>
    </xf>
    <xf numFmtId="0" fontId="2" fillId="0" borderId="31" xfId="1" applyFont="1" applyBorder="1" applyAlignment="1" applyProtection="1">
      <alignment horizontal="center"/>
    </xf>
    <xf numFmtId="0" fontId="3" fillId="2" borderId="1" xfId="2" applyFont="1" applyFill="1" applyBorder="1" applyAlignment="1" applyProtection="1">
      <alignment horizontal="center" vertical="center"/>
    </xf>
    <xf numFmtId="0" fontId="3" fillId="2" borderId="2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/>
    </xf>
    <xf numFmtId="0" fontId="3" fillId="20" borderId="4" xfId="2" applyFont="1" applyFill="1" applyBorder="1" applyAlignment="1" applyProtection="1">
      <alignment horizontal="center" vertical="center"/>
    </xf>
    <xf numFmtId="0" fontId="3" fillId="20" borderId="5" xfId="2" applyFont="1" applyFill="1" applyBorder="1" applyAlignment="1" applyProtection="1">
      <alignment horizontal="center" vertical="center"/>
    </xf>
    <xf numFmtId="0" fontId="3" fillId="20" borderId="6" xfId="2" applyFont="1" applyFill="1" applyBorder="1" applyAlignment="1" applyProtection="1">
      <alignment horizontal="center" vertical="center"/>
    </xf>
    <xf numFmtId="0" fontId="4" fillId="6" borderId="47" xfId="1" applyFont="1" applyFill="1" applyBorder="1" applyAlignment="1" applyProtection="1">
      <alignment horizontal="right" vertical="center" wrapText="1"/>
    </xf>
    <xf numFmtId="0" fontId="4" fillId="6" borderId="0" xfId="1" applyFont="1" applyFill="1" applyBorder="1" applyAlignment="1" applyProtection="1">
      <alignment horizontal="right" vertical="center" wrapText="1"/>
    </xf>
    <xf numFmtId="0" fontId="4" fillId="6" borderId="48" xfId="1" applyFont="1" applyFill="1" applyBorder="1" applyAlignment="1" applyProtection="1">
      <alignment horizontal="right" vertical="center" wrapText="1"/>
    </xf>
    <xf numFmtId="0" fontId="3" fillId="13" borderId="45" xfId="2" applyFont="1" applyFill="1" applyBorder="1" applyAlignment="1" applyProtection="1">
      <alignment horizontal="center" vertical="center"/>
    </xf>
    <xf numFmtId="0" fontId="3" fillId="13" borderId="44" xfId="2" applyFont="1" applyFill="1" applyBorder="1" applyAlignment="1" applyProtection="1">
      <alignment horizontal="center" vertical="center"/>
    </xf>
    <xf numFmtId="0" fontId="3" fillId="13" borderId="46" xfId="2" applyFont="1" applyFill="1" applyBorder="1" applyAlignment="1" applyProtection="1">
      <alignment horizontal="center" vertical="center"/>
    </xf>
    <xf numFmtId="0" fontId="4" fillId="3" borderId="25" xfId="1" applyFont="1" applyFill="1" applyBorder="1" applyAlignment="1" applyProtection="1">
      <alignment horizontal="center" vertical="center" wrapText="1"/>
    </xf>
    <xf numFmtId="0" fontId="3" fillId="13" borderId="4" xfId="2" applyFont="1" applyFill="1" applyBorder="1" applyAlignment="1" applyProtection="1">
      <alignment horizontal="center" vertical="center"/>
    </xf>
    <xf numFmtId="0" fontId="3" fillId="13" borderId="5" xfId="2" applyFont="1" applyFill="1" applyBorder="1" applyAlignment="1" applyProtection="1">
      <alignment horizontal="center" vertical="center"/>
    </xf>
    <xf numFmtId="0" fontId="3" fillId="13" borderId="6" xfId="2" applyFont="1" applyFill="1" applyBorder="1" applyAlignment="1" applyProtection="1">
      <alignment horizontal="center" vertical="center"/>
    </xf>
    <xf numFmtId="0" fontId="3" fillId="2" borderId="37" xfId="2" applyFont="1" applyFill="1" applyBorder="1" applyAlignment="1">
      <alignment horizontal="center" vertical="center"/>
      <protection locked="0"/>
    </xf>
    <xf numFmtId="0" fontId="3" fillId="2" borderId="38" xfId="2" applyFont="1" applyFill="1" applyBorder="1" applyAlignment="1">
      <alignment horizontal="center" vertical="center"/>
      <protection locked="0"/>
    </xf>
    <xf numFmtId="0" fontId="3" fillId="2" borderId="39" xfId="2" applyFont="1" applyFill="1" applyBorder="1" applyAlignment="1">
      <alignment horizontal="center" vertical="center"/>
      <protection locked="0"/>
    </xf>
    <xf numFmtId="49" fontId="7" fillId="16" borderId="45" xfId="1" applyNumberFormat="1" applyFont="1" applyFill="1" applyBorder="1" applyAlignment="1" applyProtection="1">
      <alignment horizontal="center" vertical="center" wrapText="1"/>
    </xf>
    <xf numFmtId="49" fontId="7" fillId="16" borderId="44" xfId="1" applyNumberFormat="1" applyFont="1" applyFill="1" applyBorder="1" applyAlignment="1" applyProtection="1">
      <alignment horizontal="center" vertical="center" wrapText="1"/>
    </xf>
    <xf numFmtId="49" fontId="7" fillId="16" borderId="46" xfId="1" applyNumberFormat="1" applyFont="1" applyFill="1" applyBorder="1" applyAlignment="1" applyProtection="1">
      <alignment horizontal="center" vertical="center" wrapText="1"/>
    </xf>
    <xf numFmtId="0" fontId="3" fillId="2" borderId="13" xfId="2" applyFont="1" applyFill="1" applyBorder="1" applyAlignment="1" applyProtection="1">
      <alignment horizontal="center" vertical="center"/>
    </xf>
    <xf numFmtId="0" fontId="3" fillId="2" borderId="14" xfId="2" applyFont="1" applyFill="1" applyBorder="1" applyAlignment="1" applyProtection="1">
      <alignment horizontal="center" vertical="center"/>
    </xf>
    <xf numFmtId="0" fontId="3" fillId="2" borderId="16" xfId="2" applyFont="1" applyFill="1" applyBorder="1" applyAlignment="1" applyProtection="1">
      <alignment horizontal="center" vertical="center"/>
    </xf>
    <xf numFmtId="0" fontId="3" fillId="0" borderId="19" xfId="1" applyFont="1" applyBorder="1" applyAlignment="1" applyProtection="1">
      <alignment horizontal="center"/>
    </xf>
    <xf numFmtId="0" fontId="3" fillId="0" borderId="22" xfId="1" applyFont="1" applyBorder="1" applyAlignment="1" applyProtection="1">
      <alignment horizontal="center"/>
    </xf>
    <xf numFmtId="0" fontId="3" fillId="0" borderId="24" xfId="1" applyFont="1" applyBorder="1" applyAlignment="1" applyProtection="1">
      <alignment horizontal="center"/>
    </xf>
    <xf numFmtId="0" fontId="3" fillId="0" borderId="25" xfId="1" applyFont="1" applyBorder="1" applyAlignment="1" applyProtection="1">
      <alignment horizontal="center"/>
    </xf>
    <xf numFmtId="0" fontId="2" fillId="6" borderId="37" xfId="1" applyFont="1" applyFill="1" applyBorder="1" applyAlignment="1" applyProtection="1">
      <alignment horizontal="right" vertical="center"/>
    </xf>
    <xf numFmtId="0" fontId="2" fillId="6" borderId="38" xfId="1" applyFont="1" applyFill="1" applyBorder="1" applyAlignment="1" applyProtection="1">
      <alignment horizontal="right" vertical="center"/>
    </xf>
    <xf numFmtId="0" fontId="2" fillId="6" borderId="42" xfId="1" applyFont="1" applyFill="1" applyBorder="1" applyAlignment="1" applyProtection="1">
      <alignment horizontal="right" vertical="center"/>
    </xf>
  </cellXfs>
  <cellStyles count="28">
    <cellStyle name="Звичайний" xfId="0" builtinId="0"/>
    <cellStyle name="Звичайний 2" xfId="8" xr:uid="{8E59BB66-ABB6-46EE-9F30-CE1C2328786B}"/>
    <cellStyle name="Звичайний 3" xfId="2" xr:uid="{00000000-0005-0000-0000-000002000000}"/>
    <cellStyle name="Звичайний 3 2" xfId="12" xr:uid="{6B22F3BE-C517-4D8B-99DE-7D6224872F2C}"/>
    <cellStyle name="Звичайний 3 2 2" xfId="23" xr:uid="{9E3FFF56-3309-41FD-9897-29CE6717CB67}"/>
    <cellStyle name="Звичайний 3 3" xfId="18" xr:uid="{6DA03553-E55B-4059-81F6-E778114DF439}"/>
    <cellStyle name="Звичайний 3 3 2" xfId="27" xr:uid="{E25BB606-5F3B-47A4-BC72-6251D6D723E8}"/>
    <cellStyle name="Звичайний 4" xfId="10" xr:uid="{90BFB503-37E0-4ABD-9ED8-521B15CCF54A}"/>
    <cellStyle name="Звичайний 4 2" xfId="21" xr:uid="{1159487F-2146-47B7-835E-579DBBA8ADF8}"/>
    <cellStyle name="Звичайний 5" xfId="15" xr:uid="{C78B279F-CF47-417B-8EA5-193BCCF6635C}"/>
    <cellStyle name="Звичайний 6" xfId="16" xr:uid="{D174BC84-44D5-490C-A2C0-60EA385F792C}"/>
    <cellStyle name="Звичайний 6 2" xfId="25" xr:uid="{37434267-BD63-4317-9C96-FD7BD821A0D8}"/>
    <cellStyle name="Звичайний 7" xfId="6" xr:uid="{C3760611-C0DB-481E-8385-D7191CA57BBE}"/>
    <cellStyle name="Звичайний 8" xfId="19" xr:uid="{27E34AE5-716F-4793-83ED-61B5D6224AFD}"/>
    <cellStyle name="Обычный 2" xfId="1" xr:uid="{00000000-0005-0000-0000-000001000000}"/>
    <cellStyle name="Обычный 2 10 10 2 2 2 2" xfId="4" xr:uid="{00000000-0005-0000-0000-000004000000}"/>
    <cellStyle name="Обычный 2 10 10 2 2 2 2 2" xfId="14" xr:uid="{B096D877-6A4F-4666-A006-5E900BDB5A1C}"/>
    <cellStyle name="Обычный 2 10 10 2 2 2 2 2 2" xfId="24" xr:uid="{B13A4F1A-D3CF-4605-99DC-A0029538C79F}"/>
    <cellStyle name="Обычный 2 2" xfId="9" xr:uid="{E0EF8C1C-E50B-4C4A-9E31-A97F53FC8AE7}"/>
    <cellStyle name="Обычный 2 3" xfId="11" xr:uid="{EE8CBA35-399F-4EF4-BCE5-C41D30BE3594}"/>
    <cellStyle name="Обычный 2 3 2" xfId="22" xr:uid="{B5F05672-F82A-4D17-81EA-DA5A54FE1C68}"/>
    <cellStyle name="Обычный 2 4" xfId="17" xr:uid="{951E2AC9-0ABA-4283-B390-7782A01FFF79}"/>
    <cellStyle name="Обычный 2 4 2" xfId="26" xr:uid="{5D1E2BC1-9ED4-42BE-8395-BF47BA6887A8}"/>
    <cellStyle name="Обычный 2 5" xfId="20" xr:uid="{77DEEC8B-A261-4B75-8A4B-037A808A88F2}"/>
    <cellStyle name="Обычный 2 6" xfId="7" xr:uid="{23E26E4A-48D0-4445-AC1C-D0F30425EAA8}"/>
    <cellStyle name="Обычный 24" xfId="13" xr:uid="{430ADCDA-C921-4FEC-A0C1-18869B103FE2}"/>
    <cellStyle name="Обычный 3" xfId="3" xr:uid="{00000000-0005-0000-0000-000003000000}"/>
    <cellStyle name="Обычный 4" xfId="5" xr:uid="{1AC92673-FCCF-4140-8E67-83A7DCE37593}"/>
  </cellStyles>
  <dxfs count="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505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167"/>
  <sheetViews>
    <sheetView tabSelected="1" topLeftCell="Q28" zoomScale="60" zoomScaleNormal="60" workbookViewId="0">
      <selection activeCell="T41" sqref="T41:Z41"/>
    </sheetView>
  </sheetViews>
  <sheetFormatPr defaultColWidth="9.109375" defaultRowHeight="19.5" customHeight="1" x14ac:dyDescent="0.4"/>
  <cols>
    <col min="1" max="1" width="3.5546875" style="1" customWidth="1"/>
    <col min="2" max="2" width="29.33203125" style="2" customWidth="1"/>
    <col min="3" max="3" width="60.88671875" style="3" customWidth="1"/>
    <col min="4" max="4" width="21.33203125" style="4" customWidth="1"/>
    <col min="5" max="5" width="66.44140625" style="1" customWidth="1"/>
    <col min="6" max="6" width="22.44140625" style="1" customWidth="1"/>
    <col min="7" max="7" width="35.33203125" style="1" customWidth="1"/>
    <col min="8" max="8" width="20.33203125" style="2" customWidth="1"/>
    <col min="9" max="10" width="3.6640625" style="1" customWidth="1"/>
    <col min="11" max="11" width="29.5546875" style="1" bestFit="1" customWidth="1"/>
    <col min="12" max="12" width="57.33203125" style="3" customWidth="1"/>
    <col min="13" max="13" width="32.33203125" style="1" customWidth="1"/>
    <col min="14" max="14" width="47.33203125" style="1" customWidth="1"/>
    <col min="15" max="15" width="19" style="1" customWidth="1"/>
    <col min="16" max="16" width="92.6640625" style="1" customWidth="1"/>
    <col min="17" max="17" width="15" style="2" customWidth="1"/>
    <col min="18" max="19" width="3.6640625" style="1" customWidth="1"/>
    <col min="20" max="20" width="29.5546875" style="1" bestFit="1" customWidth="1"/>
    <col min="21" max="21" width="57.33203125" style="3" customWidth="1"/>
    <col min="22" max="22" width="25.33203125" style="1" customWidth="1"/>
    <col min="23" max="23" width="47.33203125" style="1" customWidth="1"/>
    <col min="24" max="24" width="26.44140625" style="1" customWidth="1"/>
    <col min="25" max="25" width="33.88671875" style="1" customWidth="1"/>
    <col min="26" max="26" width="15" style="2" customWidth="1"/>
    <col min="27" max="28" width="3.6640625" style="1" customWidth="1"/>
    <col min="29" max="29" width="14.33203125" style="1" customWidth="1"/>
    <col min="30" max="30" width="57.33203125" style="3" customWidth="1"/>
    <col min="31" max="31" width="22.44140625" style="1" bestFit="1" customWidth="1"/>
    <col min="32" max="32" width="47.33203125" style="1" customWidth="1"/>
    <col min="33" max="33" width="12" style="1" customWidth="1"/>
    <col min="34" max="34" width="33.88671875" style="1" customWidth="1"/>
    <col min="35" max="35" width="15" style="2" customWidth="1"/>
    <col min="36" max="16384" width="9.109375" style="1"/>
  </cols>
  <sheetData>
    <row r="2" spans="2:29" ht="19.5" customHeight="1" x14ac:dyDescent="0.4">
      <c r="B2" s="347" t="s">
        <v>63</v>
      </c>
      <c r="C2" s="348"/>
      <c r="D2" s="348"/>
      <c r="E2" s="348"/>
      <c r="F2" s="348"/>
      <c r="G2" s="348"/>
      <c r="H2" s="349"/>
      <c r="K2" s="330" t="s">
        <v>48</v>
      </c>
      <c r="L2" s="331"/>
      <c r="M2" s="331"/>
      <c r="N2" s="331"/>
      <c r="O2" s="331"/>
      <c r="P2" s="331"/>
      <c r="Q2" s="332"/>
    </row>
    <row r="3" spans="2:29" ht="19.5" customHeight="1" thickBot="1" x14ac:dyDescent="0.45">
      <c r="B3" s="5" t="s">
        <v>7</v>
      </c>
      <c r="C3" s="6" t="s">
        <v>6</v>
      </c>
      <c r="D3" s="6" t="s">
        <v>5</v>
      </c>
      <c r="E3" s="6" t="s">
        <v>4</v>
      </c>
      <c r="F3" s="6" t="s">
        <v>3</v>
      </c>
      <c r="G3" s="6" t="s">
        <v>9</v>
      </c>
      <c r="H3" s="7" t="s">
        <v>1</v>
      </c>
      <c r="K3" s="8" t="s">
        <v>7</v>
      </c>
      <c r="L3" s="9" t="s">
        <v>6</v>
      </c>
      <c r="M3" s="9" t="s">
        <v>5</v>
      </c>
      <c r="N3" s="9" t="s">
        <v>4</v>
      </c>
      <c r="O3" s="9" t="s">
        <v>3</v>
      </c>
      <c r="P3" s="9" t="s">
        <v>9</v>
      </c>
      <c r="Q3" s="10" t="s">
        <v>1</v>
      </c>
    </row>
    <row r="4" spans="2:29" ht="19.5" customHeight="1" x14ac:dyDescent="0.4">
      <c r="B4" s="11" t="s">
        <v>82</v>
      </c>
      <c r="C4" s="281" t="s">
        <v>85</v>
      </c>
      <c r="D4" s="12" t="s">
        <v>152</v>
      </c>
      <c r="E4" s="13" t="s">
        <v>84</v>
      </c>
      <c r="F4" s="12" t="s">
        <v>20</v>
      </c>
      <c r="G4" s="228" t="s">
        <v>368</v>
      </c>
      <c r="H4" s="15" t="s">
        <v>248</v>
      </c>
      <c r="K4" s="22" t="s">
        <v>11</v>
      </c>
      <c r="L4" s="229" t="s">
        <v>46</v>
      </c>
      <c r="M4" s="22" t="s">
        <v>147</v>
      </c>
      <c r="N4" s="23" t="s">
        <v>233</v>
      </c>
      <c r="O4" s="246" t="s">
        <v>31</v>
      </c>
      <c r="P4" s="24" t="s">
        <v>358</v>
      </c>
      <c r="Q4" s="248" t="s">
        <v>269</v>
      </c>
    </row>
    <row r="5" spans="2:29" ht="19.5" customHeight="1" thickBot="1" x14ac:dyDescent="0.45">
      <c r="B5" s="21" t="s">
        <v>80</v>
      </c>
      <c r="C5" s="229" t="s">
        <v>76</v>
      </c>
      <c r="D5" s="22" t="s">
        <v>154</v>
      </c>
      <c r="E5" s="28" t="s">
        <v>16</v>
      </c>
      <c r="F5" s="22" t="s">
        <v>20</v>
      </c>
      <c r="G5" s="14" t="s">
        <v>282</v>
      </c>
      <c r="H5" s="20" t="s">
        <v>248</v>
      </c>
      <c r="K5" s="22" t="s">
        <v>11</v>
      </c>
      <c r="L5" s="229" t="s">
        <v>44</v>
      </c>
      <c r="M5" s="22" t="s">
        <v>149</v>
      </c>
      <c r="N5" s="28" t="s">
        <v>267</v>
      </c>
      <c r="O5" s="246" t="s">
        <v>31</v>
      </c>
      <c r="P5" s="29" t="s">
        <v>158</v>
      </c>
      <c r="Q5" s="248" t="s">
        <v>269</v>
      </c>
      <c r="U5" s="329" t="s">
        <v>83</v>
      </c>
      <c r="V5" s="329"/>
    </row>
    <row r="6" spans="2:29" ht="21" x14ac:dyDescent="0.4">
      <c r="B6" s="21"/>
      <c r="C6" s="17"/>
      <c r="D6" s="22"/>
      <c r="E6" s="34"/>
      <c r="F6" s="22"/>
      <c r="G6" s="35"/>
      <c r="H6" s="20"/>
      <c r="K6" s="22" t="s">
        <v>11</v>
      </c>
      <c r="L6" s="229" t="s">
        <v>43</v>
      </c>
      <c r="M6" s="22" t="s">
        <v>150</v>
      </c>
      <c r="N6" s="28" t="s">
        <v>239</v>
      </c>
      <c r="O6" s="246" t="s">
        <v>31</v>
      </c>
      <c r="P6" s="24" t="s">
        <v>283</v>
      </c>
      <c r="Q6" s="248" t="s">
        <v>269</v>
      </c>
      <c r="U6" s="30" t="s">
        <v>81</v>
      </c>
      <c r="V6" s="31">
        <v>113</v>
      </c>
    </row>
    <row r="7" spans="2:29" ht="19.5" customHeight="1" thickBot="1" x14ac:dyDescent="0.45">
      <c r="B7" s="336" t="s">
        <v>0</v>
      </c>
      <c r="C7" s="337"/>
      <c r="D7" s="337"/>
      <c r="E7" s="337"/>
      <c r="F7" s="337"/>
      <c r="G7" s="338"/>
      <c r="H7" s="46">
        <f>COUNTA(C4:C6)</f>
        <v>2</v>
      </c>
      <c r="K7" s="22" t="s">
        <v>181</v>
      </c>
      <c r="L7" s="229" t="s">
        <v>184</v>
      </c>
      <c r="M7" s="22" t="s">
        <v>104</v>
      </c>
      <c r="N7" s="23" t="s">
        <v>232</v>
      </c>
      <c r="O7" s="246" t="s">
        <v>256</v>
      </c>
      <c r="P7" s="24" t="s">
        <v>345</v>
      </c>
      <c r="Q7" s="248" t="s">
        <v>269</v>
      </c>
      <c r="U7" s="32" t="s">
        <v>77</v>
      </c>
      <c r="V7" s="33">
        <f>SUM(H7,H20,H26,H32,H43,H49,H55,H61,H85,Q37,Q59,Q74,Q106,Z46,Z55,Z66,Z72,)</f>
        <v>130</v>
      </c>
    </row>
    <row r="8" spans="2:29" ht="19.5" customHeight="1" thickBot="1" x14ac:dyDescent="0.45">
      <c r="K8" s="52" t="s">
        <v>11</v>
      </c>
      <c r="L8" s="282" t="s">
        <v>200</v>
      </c>
      <c r="M8" s="52" t="s">
        <v>133</v>
      </c>
      <c r="N8" s="23" t="s">
        <v>235</v>
      </c>
      <c r="O8" s="246" t="s">
        <v>31</v>
      </c>
      <c r="P8" s="24" t="s">
        <v>380</v>
      </c>
      <c r="Q8" s="248" t="s">
        <v>269</v>
      </c>
      <c r="U8" s="344" t="s">
        <v>75</v>
      </c>
      <c r="V8" s="344"/>
      <c r="AC8" s="1" t="s">
        <v>74</v>
      </c>
    </row>
    <row r="9" spans="2:29" ht="19.5" customHeight="1" thickBot="1" x14ac:dyDescent="0.45">
      <c r="B9" s="341" t="s">
        <v>61</v>
      </c>
      <c r="C9" s="342"/>
      <c r="D9" s="342"/>
      <c r="E9" s="342"/>
      <c r="F9" s="342"/>
      <c r="G9" s="342"/>
      <c r="H9" s="343"/>
      <c r="K9" s="52" t="s">
        <v>11</v>
      </c>
      <c r="L9" s="225" t="s">
        <v>190</v>
      </c>
      <c r="M9" s="76" t="s">
        <v>124</v>
      </c>
      <c r="N9" s="28" t="s">
        <v>237</v>
      </c>
      <c r="O9" s="246" t="s">
        <v>31</v>
      </c>
      <c r="P9" s="24" t="s">
        <v>281</v>
      </c>
      <c r="Q9" s="248" t="s">
        <v>269</v>
      </c>
      <c r="U9" s="44" t="s">
        <v>40</v>
      </c>
      <c r="V9" s="45">
        <f>Z66</f>
        <v>6</v>
      </c>
    </row>
    <row r="10" spans="2:29" ht="19.5" customHeight="1" thickBot="1" x14ac:dyDescent="0.45">
      <c r="B10" s="5" t="s">
        <v>7</v>
      </c>
      <c r="C10" s="6" t="s">
        <v>6</v>
      </c>
      <c r="D10" s="6" t="s">
        <v>5</v>
      </c>
      <c r="E10" s="6" t="s">
        <v>4</v>
      </c>
      <c r="F10" s="6" t="s">
        <v>3</v>
      </c>
      <c r="G10" s="6" t="s">
        <v>9</v>
      </c>
      <c r="H10" s="7" t="s">
        <v>1</v>
      </c>
      <c r="K10" s="305" t="s">
        <v>11</v>
      </c>
      <c r="L10" s="316" t="s">
        <v>397</v>
      </c>
      <c r="M10" s="94" t="s">
        <v>398</v>
      </c>
      <c r="N10" s="23" t="s">
        <v>232</v>
      </c>
      <c r="O10" s="246" t="s">
        <v>31</v>
      </c>
      <c r="P10" s="306" t="s">
        <v>399</v>
      </c>
      <c r="Q10" s="307"/>
      <c r="U10" s="49" t="s">
        <v>73</v>
      </c>
      <c r="V10" s="50">
        <f>O74</f>
        <v>6</v>
      </c>
    </row>
    <row r="11" spans="2:29" ht="19.5" customHeight="1" x14ac:dyDescent="0.4">
      <c r="B11" s="16" t="s">
        <v>11</v>
      </c>
      <c r="C11" s="229" t="s">
        <v>68</v>
      </c>
      <c r="D11" s="18" t="s">
        <v>155</v>
      </c>
      <c r="E11" s="26" t="s">
        <v>111</v>
      </c>
      <c r="F11" s="18" t="s">
        <v>20</v>
      </c>
      <c r="G11" s="228" t="s">
        <v>368</v>
      </c>
      <c r="H11" s="20" t="s">
        <v>248</v>
      </c>
      <c r="K11" s="52" t="s">
        <v>181</v>
      </c>
      <c r="L11" s="315" t="s">
        <v>294</v>
      </c>
      <c r="M11" s="52" t="s">
        <v>295</v>
      </c>
      <c r="N11" s="23" t="s">
        <v>240</v>
      </c>
      <c r="O11" s="246" t="s">
        <v>31</v>
      </c>
      <c r="P11" s="90" t="s">
        <v>349</v>
      </c>
      <c r="Q11" s="48" t="s">
        <v>269</v>
      </c>
      <c r="U11" s="54" t="s">
        <v>72</v>
      </c>
      <c r="V11" s="55">
        <f>M37+O37</f>
        <v>32</v>
      </c>
    </row>
    <row r="12" spans="2:29" ht="19.5" customHeight="1" x14ac:dyDescent="0.4">
      <c r="B12" s="16" t="s">
        <v>11</v>
      </c>
      <c r="C12" s="229" t="s">
        <v>62</v>
      </c>
      <c r="D12" s="18" t="s">
        <v>157</v>
      </c>
      <c r="E12" s="26" t="s">
        <v>414</v>
      </c>
      <c r="F12" s="18" t="s">
        <v>20</v>
      </c>
      <c r="G12" s="228" t="s">
        <v>368</v>
      </c>
      <c r="H12" s="20" t="s">
        <v>248</v>
      </c>
      <c r="K12" s="18" t="s">
        <v>11</v>
      </c>
      <c r="L12" s="229" t="s">
        <v>93</v>
      </c>
      <c r="M12" s="18" t="s">
        <v>92</v>
      </c>
      <c r="N12" s="23" t="s">
        <v>278</v>
      </c>
      <c r="O12" s="246" t="s">
        <v>256</v>
      </c>
      <c r="P12" s="86" t="s">
        <v>360</v>
      </c>
      <c r="Q12" s="27" t="s">
        <v>90</v>
      </c>
      <c r="U12" s="49" t="s">
        <v>28</v>
      </c>
      <c r="V12" s="50">
        <f>Q59</f>
        <v>10</v>
      </c>
    </row>
    <row r="13" spans="2:29" ht="19.5" customHeight="1" x14ac:dyDescent="0.4">
      <c r="B13" s="21" t="s">
        <v>116</v>
      </c>
      <c r="C13" s="313" t="s">
        <v>174</v>
      </c>
      <c r="D13" s="22" t="s">
        <v>139</v>
      </c>
      <c r="E13" s="23" t="s">
        <v>230</v>
      </c>
      <c r="F13" s="22" t="s">
        <v>20</v>
      </c>
      <c r="G13" s="228" t="s">
        <v>368</v>
      </c>
      <c r="H13" s="25" t="s">
        <v>248</v>
      </c>
      <c r="K13" s="52" t="s">
        <v>11</v>
      </c>
      <c r="L13" s="282" t="s">
        <v>199</v>
      </c>
      <c r="M13" s="52" t="s">
        <v>132</v>
      </c>
      <c r="N13" s="23" t="s">
        <v>233</v>
      </c>
      <c r="O13" s="246" t="s">
        <v>256</v>
      </c>
      <c r="P13" s="90" t="s">
        <v>382</v>
      </c>
      <c r="Q13" s="48" t="s">
        <v>248</v>
      </c>
      <c r="U13" s="59" t="s">
        <v>71</v>
      </c>
      <c r="V13" s="60">
        <f>H85</f>
        <v>9</v>
      </c>
    </row>
    <row r="14" spans="2:29" ht="19.5" customHeight="1" x14ac:dyDescent="0.4">
      <c r="B14" s="16" t="s">
        <v>115</v>
      </c>
      <c r="C14" s="229" t="s">
        <v>79</v>
      </c>
      <c r="D14" s="18" t="s">
        <v>153</v>
      </c>
      <c r="E14" s="26" t="s">
        <v>78</v>
      </c>
      <c r="F14" s="18" t="s">
        <v>20</v>
      </c>
      <c r="G14" s="27" t="s">
        <v>387</v>
      </c>
      <c r="H14" s="20" t="s">
        <v>248</v>
      </c>
      <c r="K14" s="52" t="s">
        <v>11</v>
      </c>
      <c r="L14" s="282" t="s">
        <v>198</v>
      </c>
      <c r="M14" s="52" t="s">
        <v>411</v>
      </c>
      <c r="N14" s="23" t="s">
        <v>233</v>
      </c>
      <c r="O14" s="246" t="s">
        <v>256</v>
      </c>
      <c r="P14" s="90" t="s">
        <v>337</v>
      </c>
      <c r="Q14" s="48" t="s">
        <v>248</v>
      </c>
      <c r="U14" s="61" t="s">
        <v>70</v>
      </c>
      <c r="V14" s="62">
        <f>Q106</f>
        <v>28</v>
      </c>
    </row>
    <row r="15" spans="2:29" ht="19.5" customHeight="1" x14ac:dyDescent="0.4">
      <c r="B15" s="22" t="s">
        <v>11</v>
      </c>
      <c r="C15" s="229" t="s">
        <v>32</v>
      </c>
      <c r="D15" s="14" t="s">
        <v>260</v>
      </c>
      <c r="E15" s="23" t="s">
        <v>233</v>
      </c>
      <c r="F15" s="18" t="s">
        <v>20</v>
      </c>
      <c r="G15" s="219" t="s">
        <v>393</v>
      </c>
      <c r="H15" s="104" t="s">
        <v>248</v>
      </c>
      <c r="K15" s="305" t="s">
        <v>11</v>
      </c>
      <c r="L15" s="316" t="s">
        <v>428</v>
      </c>
      <c r="M15" s="299" t="s">
        <v>429</v>
      </c>
      <c r="N15" s="23" t="s">
        <v>241</v>
      </c>
      <c r="O15" s="246" t="s">
        <v>256</v>
      </c>
      <c r="P15" s="283"/>
      <c r="Q15" s="48" t="s">
        <v>269</v>
      </c>
      <c r="U15" s="61"/>
      <c r="V15" s="62"/>
    </row>
    <row r="16" spans="2:29" ht="19.5" customHeight="1" x14ac:dyDescent="0.4">
      <c r="B16" s="22" t="s">
        <v>11</v>
      </c>
      <c r="C16" s="229" t="s">
        <v>215</v>
      </c>
      <c r="D16" s="22" t="s">
        <v>222</v>
      </c>
      <c r="E16" s="89" t="s">
        <v>423</v>
      </c>
      <c r="F16" s="22" t="s">
        <v>20</v>
      </c>
      <c r="G16" s="228" t="s">
        <v>368</v>
      </c>
      <c r="H16" s="48" t="s">
        <v>248</v>
      </c>
      <c r="K16" s="56" t="s">
        <v>11</v>
      </c>
      <c r="L16" s="276" t="s">
        <v>275</v>
      </c>
      <c r="M16" s="48" t="s">
        <v>276</v>
      </c>
      <c r="N16" s="95"/>
      <c r="O16" s="246" t="s">
        <v>256</v>
      </c>
      <c r="P16" s="130" t="s">
        <v>339</v>
      </c>
      <c r="Q16" s="48" t="s">
        <v>269</v>
      </c>
      <c r="U16" s="66" t="s">
        <v>69</v>
      </c>
      <c r="V16" s="67">
        <f>Z72</f>
        <v>0</v>
      </c>
    </row>
    <row r="17" spans="2:22" ht="19.5" customHeight="1" thickBot="1" x14ac:dyDescent="0.45">
      <c r="B17" s="21" t="s">
        <v>80</v>
      </c>
      <c r="C17" s="229" t="s">
        <v>66</v>
      </c>
      <c r="D17" s="22" t="s">
        <v>156</v>
      </c>
      <c r="E17" s="23" t="s">
        <v>329</v>
      </c>
      <c r="F17" s="22" t="s">
        <v>20</v>
      </c>
      <c r="G17" s="228" t="s">
        <v>368</v>
      </c>
      <c r="H17" s="53" t="s">
        <v>248</v>
      </c>
      <c r="K17" s="166" t="s">
        <v>11</v>
      </c>
      <c r="L17" s="315" t="s">
        <v>314</v>
      </c>
      <c r="M17" s="52" t="s">
        <v>315</v>
      </c>
      <c r="N17" s="23" t="s">
        <v>244</v>
      </c>
      <c r="O17" s="246" t="s">
        <v>31</v>
      </c>
      <c r="P17" s="90" t="s">
        <v>377</v>
      </c>
      <c r="Q17" s="48" t="s">
        <v>269</v>
      </c>
      <c r="U17" s="70" t="s">
        <v>67</v>
      </c>
      <c r="V17" s="71">
        <f>SUM(V9:V16)</f>
        <v>91</v>
      </c>
    </row>
    <row r="18" spans="2:22" ht="19.5" customHeight="1" x14ac:dyDescent="0.4">
      <c r="B18" s="85" t="s">
        <v>11</v>
      </c>
      <c r="C18" s="254" t="s">
        <v>316</v>
      </c>
      <c r="D18" s="41" t="s">
        <v>317</v>
      </c>
      <c r="E18" s="58" t="s">
        <v>252</v>
      </c>
      <c r="F18" s="22" t="s">
        <v>20</v>
      </c>
      <c r="G18" s="228" t="s">
        <v>368</v>
      </c>
      <c r="H18" s="53" t="s">
        <v>248</v>
      </c>
      <c r="K18" s="22" t="s">
        <v>11</v>
      </c>
      <c r="L18" s="252" t="s">
        <v>99</v>
      </c>
      <c r="M18" s="80" t="s">
        <v>98</v>
      </c>
      <c r="N18" s="94" t="s">
        <v>258</v>
      </c>
      <c r="O18" s="246" t="s">
        <v>31</v>
      </c>
      <c r="P18" s="90" t="s">
        <v>363</v>
      </c>
      <c r="Q18" s="48" t="s">
        <v>269</v>
      </c>
      <c r="U18" s="345" t="s">
        <v>65</v>
      </c>
      <c r="V18" s="346"/>
    </row>
    <row r="19" spans="2:22" ht="19.5" customHeight="1" x14ac:dyDescent="0.4">
      <c r="B19" s="16"/>
      <c r="C19" s="17"/>
      <c r="D19" s="18"/>
      <c r="E19" s="73"/>
      <c r="F19" s="18"/>
      <c r="G19" s="228"/>
      <c r="H19" s="20"/>
      <c r="K19" s="22" t="s">
        <v>11</v>
      </c>
      <c r="L19" s="229" t="s">
        <v>45</v>
      </c>
      <c r="M19" s="22" t="s">
        <v>148</v>
      </c>
      <c r="N19" s="23" t="s">
        <v>237</v>
      </c>
      <c r="O19" s="246" t="s">
        <v>256</v>
      </c>
      <c r="P19" s="24" t="s">
        <v>386</v>
      </c>
      <c r="Q19" s="104" t="s">
        <v>248</v>
      </c>
      <c r="U19" s="74" t="s">
        <v>63</v>
      </c>
      <c r="V19" s="75">
        <f>COUNTIF(F4:F6,"В строю")</f>
        <v>2</v>
      </c>
    </row>
    <row r="20" spans="2:22" ht="19.5" customHeight="1" thickBot="1" x14ac:dyDescent="0.45">
      <c r="B20" s="336" t="s">
        <v>0</v>
      </c>
      <c r="C20" s="337"/>
      <c r="D20" s="337"/>
      <c r="E20" s="337"/>
      <c r="F20" s="337"/>
      <c r="G20" s="338"/>
      <c r="H20" s="46">
        <f>COUNTA(C11:C19)</f>
        <v>8</v>
      </c>
      <c r="K20" s="247" t="s">
        <v>11</v>
      </c>
      <c r="L20" s="315" t="s">
        <v>290</v>
      </c>
      <c r="M20" s="247" t="s">
        <v>291</v>
      </c>
      <c r="N20" s="245" t="s">
        <v>326</v>
      </c>
      <c r="O20" s="246" t="s">
        <v>31</v>
      </c>
      <c r="P20" s="249" t="s">
        <v>361</v>
      </c>
      <c r="Q20" s="248" t="s">
        <v>269</v>
      </c>
      <c r="U20" s="77" t="s">
        <v>61</v>
      </c>
      <c r="V20" s="78">
        <f>COUNTIF(F11:F20,"В строю")</f>
        <v>8</v>
      </c>
    </row>
    <row r="21" spans="2:22" ht="19.95" customHeight="1" thickBot="1" x14ac:dyDescent="0.45">
      <c r="K21" s="85" t="s">
        <v>11</v>
      </c>
      <c r="L21" s="315" t="s">
        <v>302</v>
      </c>
      <c r="M21" s="52" t="s">
        <v>303</v>
      </c>
      <c r="N21" s="23" t="s">
        <v>327</v>
      </c>
      <c r="O21" s="246" t="s">
        <v>31</v>
      </c>
      <c r="P21" s="90" t="s">
        <v>383</v>
      </c>
      <c r="Q21" s="48" t="s">
        <v>269</v>
      </c>
      <c r="U21" s="49" t="s">
        <v>60</v>
      </c>
      <c r="V21" s="50">
        <f>SUM(H26)</f>
        <v>1</v>
      </c>
    </row>
    <row r="22" spans="2:22" ht="19.5" customHeight="1" thickBot="1" x14ac:dyDescent="0.45">
      <c r="B22" s="341" t="s">
        <v>57</v>
      </c>
      <c r="C22" s="342"/>
      <c r="D22" s="342"/>
      <c r="E22" s="342"/>
      <c r="F22" s="342"/>
      <c r="G22" s="342"/>
      <c r="H22" s="343"/>
      <c r="K22" s="18" t="s">
        <v>11</v>
      </c>
      <c r="L22" s="229" t="s">
        <v>22</v>
      </c>
      <c r="M22" s="18" t="s">
        <v>242</v>
      </c>
      <c r="N22" s="19" t="s">
        <v>231</v>
      </c>
      <c r="O22" s="246" t="s">
        <v>31</v>
      </c>
      <c r="P22" s="113" t="s">
        <v>374</v>
      </c>
      <c r="Q22" s="97" t="s">
        <v>248</v>
      </c>
      <c r="U22" s="49" t="s">
        <v>14</v>
      </c>
      <c r="V22" s="50">
        <f>M74</f>
        <v>5</v>
      </c>
    </row>
    <row r="23" spans="2:22" ht="19.5" customHeight="1" thickBot="1" x14ac:dyDescent="0.45">
      <c r="B23" s="5" t="s">
        <v>7</v>
      </c>
      <c r="C23" s="6" t="s">
        <v>6</v>
      </c>
      <c r="D23" s="6" t="s">
        <v>5</v>
      </c>
      <c r="E23" s="6" t="s">
        <v>4</v>
      </c>
      <c r="F23" s="6" t="s">
        <v>3</v>
      </c>
      <c r="G23" s="6" t="s">
        <v>9</v>
      </c>
      <c r="H23" s="7" t="s">
        <v>1</v>
      </c>
      <c r="K23" s="22" t="s">
        <v>11</v>
      </c>
      <c r="L23" s="253" t="s">
        <v>94</v>
      </c>
      <c r="M23" s="80" t="s">
        <v>64</v>
      </c>
      <c r="N23" s="48" t="s">
        <v>266</v>
      </c>
      <c r="O23" s="246" t="s">
        <v>31</v>
      </c>
      <c r="P23" s="283" t="s">
        <v>373</v>
      </c>
      <c r="Q23" s="307" t="s">
        <v>87</v>
      </c>
      <c r="U23" s="257" t="s">
        <v>210</v>
      </c>
      <c r="V23" s="258">
        <f>SUM(Z55)</f>
        <v>4</v>
      </c>
    </row>
    <row r="24" spans="2:22" ht="19.5" customHeight="1" x14ac:dyDescent="0.4">
      <c r="B24" s="51" t="s">
        <v>11</v>
      </c>
      <c r="C24" s="282" t="s">
        <v>201</v>
      </c>
      <c r="D24" s="52" t="s">
        <v>134</v>
      </c>
      <c r="E24" s="89" t="s">
        <v>232</v>
      </c>
      <c r="F24" s="22" t="s">
        <v>20</v>
      </c>
      <c r="G24" s="14" t="s">
        <v>282</v>
      </c>
      <c r="H24" s="53" t="s">
        <v>248</v>
      </c>
      <c r="K24" s="308" t="s">
        <v>11</v>
      </c>
      <c r="L24" s="318" t="s">
        <v>264</v>
      </c>
      <c r="M24" s="57" t="s">
        <v>265</v>
      </c>
      <c r="N24" s="23" t="s">
        <v>233</v>
      </c>
      <c r="O24" s="246" t="s">
        <v>31</v>
      </c>
      <c r="P24" s="283" t="s">
        <v>371</v>
      </c>
      <c r="Q24" s="48" t="s">
        <v>248</v>
      </c>
      <c r="U24" s="82" t="s">
        <v>53</v>
      </c>
      <c r="V24" s="83">
        <f>Z46</f>
        <v>9</v>
      </c>
    </row>
    <row r="25" spans="2:22" ht="19.5" customHeight="1" x14ac:dyDescent="0.4">
      <c r="B25" s="92"/>
      <c r="C25" s="93"/>
      <c r="D25" s="94"/>
      <c r="E25" s="95"/>
      <c r="F25" s="48"/>
      <c r="G25" s="95"/>
      <c r="H25" s="53"/>
      <c r="K25" s="22" t="s">
        <v>11</v>
      </c>
      <c r="L25" s="229" t="s">
        <v>218</v>
      </c>
      <c r="M25" s="22" t="s">
        <v>225</v>
      </c>
      <c r="N25" s="23" t="s">
        <v>253</v>
      </c>
      <c r="O25" s="246" t="s">
        <v>31</v>
      </c>
      <c r="P25" s="90" t="s">
        <v>433</v>
      </c>
      <c r="Q25" s="48" t="s">
        <v>269</v>
      </c>
      <c r="U25" s="87" t="s">
        <v>59</v>
      </c>
      <c r="V25" s="88">
        <f>COUNTIF(F31:F31,"В строю БГ")+COUNTIF(F36:F42,"В строю БГ")+COUNTIF(F43:F48,"В строю БГ")+COUNTIF(F59:F60,"В строю БГ")</f>
        <v>4</v>
      </c>
    </row>
    <row r="26" spans="2:22" ht="19.5" customHeight="1" thickBot="1" x14ac:dyDescent="0.45">
      <c r="B26" s="339" t="s">
        <v>0</v>
      </c>
      <c r="C26" s="340"/>
      <c r="D26" s="340"/>
      <c r="E26" s="340"/>
      <c r="F26" s="340"/>
      <c r="G26" s="340"/>
      <c r="H26" s="99">
        <f>COUNTA(H24:H25)</f>
        <v>1</v>
      </c>
      <c r="K26" s="305" t="s">
        <v>11</v>
      </c>
      <c r="L26" s="316" t="s">
        <v>455</v>
      </c>
      <c r="M26" s="305" t="s">
        <v>456</v>
      </c>
      <c r="N26" s="23" t="s">
        <v>457</v>
      </c>
      <c r="O26" s="246" t="s">
        <v>31</v>
      </c>
      <c r="P26" s="90" t="s">
        <v>458</v>
      </c>
      <c r="Q26" s="48" t="s">
        <v>269</v>
      </c>
      <c r="U26" s="91" t="s">
        <v>58</v>
      </c>
      <c r="V26" s="65">
        <f>COUNTIF(F31:F31,"В строю")+COUNTIF(F36:F42,"В строю")+COUNTIF(F47:F48,"В строю")+COUNTIF(F59:F60,"В строю")</f>
        <v>4</v>
      </c>
    </row>
    <row r="27" spans="2:22" ht="19.5" customHeight="1" thickBot="1" x14ac:dyDescent="0.45">
      <c r="K27" s="303" t="s">
        <v>415</v>
      </c>
      <c r="L27" s="316" t="s">
        <v>477</v>
      </c>
      <c r="M27" s="303" t="s">
        <v>478</v>
      </c>
      <c r="N27" s="23" t="s">
        <v>244</v>
      </c>
      <c r="O27" s="246" t="s">
        <v>31</v>
      </c>
      <c r="P27" s="90" t="s">
        <v>479</v>
      </c>
      <c r="Q27" s="48" t="s">
        <v>269</v>
      </c>
      <c r="U27" s="70" t="s">
        <v>56</v>
      </c>
      <c r="V27" s="98">
        <f>SUM(V19:V26)</f>
        <v>37</v>
      </c>
    </row>
    <row r="28" spans="2:22" ht="19.5" customHeight="1" thickBot="1" x14ac:dyDescent="0.45">
      <c r="B28" s="341" t="s">
        <v>55</v>
      </c>
      <c r="C28" s="342"/>
      <c r="D28" s="342"/>
      <c r="E28" s="342"/>
      <c r="F28" s="342"/>
      <c r="G28" s="342"/>
      <c r="H28" s="343"/>
      <c r="K28" s="247" t="s">
        <v>11</v>
      </c>
      <c r="L28" s="225" t="s">
        <v>191</v>
      </c>
      <c r="M28" s="226" t="s">
        <v>125</v>
      </c>
      <c r="N28" s="227" t="s">
        <v>232</v>
      </c>
      <c r="O28" s="246" t="s">
        <v>31</v>
      </c>
      <c r="P28" s="283" t="s">
        <v>385</v>
      </c>
      <c r="Q28" s="248" t="s">
        <v>248</v>
      </c>
    </row>
    <row r="29" spans="2:22" ht="19.5" customHeight="1" x14ac:dyDescent="0.4">
      <c r="B29" s="296" t="s">
        <v>7</v>
      </c>
      <c r="C29" s="297" t="s">
        <v>6</v>
      </c>
      <c r="D29" s="297" t="s">
        <v>5</v>
      </c>
      <c r="E29" s="297" t="s">
        <v>4</v>
      </c>
      <c r="F29" s="297" t="s">
        <v>3</v>
      </c>
      <c r="G29" s="297" t="s">
        <v>9</v>
      </c>
      <c r="H29" s="298" t="s">
        <v>1</v>
      </c>
      <c r="K29" s="305" t="s">
        <v>415</v>
      </c>
      <c r="L29" s="316" t="s">
        <v>416</v>
      </c>
      <c r="M29" s="247" t="s">
        <v>417</v>
      </c>
      <c r="N29" s="227" t="s">
        <v>241</v>
      </c>
      <c r="O29" s="246" t="s">
        <v>31</v>
      </c>
      <c r="P29" s="283" t="s">
        <v>418</v>
      </c>
      <c r="Q29" s="248"/>
    </row>
    <row r="30" spans="2:22" ht="19.5" customHeight="1" x14ac:dyDescent="0.4">
      <c r="B30" s="303" t="s">
        <v>11</v>
      </c>
      <c r="C30" s="316" t="s">
        <v>473</v>
      </c>
      <c r="D30" s="303" t="s">
        <v>474</v>
      </c>
      <c r="E30" s="97" t="s">
        <v>233</v>
      </c>
      <c r="F30" s="22" t="s">
        <v>20</v>
      </c>
      <c r="G30" s="228" t="s">
        <v>368</v>
      </c>
      <c r="H30" s="48" t="s">
        <v>248</v>
      </c>
      <c r="K30" s="305" t="s">
        <v>11</v>
      </c>
      <c r="L30" s="316" t="s">
        <v>425</v>
      </c>
      <c r="M30" s="121" t="s">
        <v>426</v>
      </c>
      <c r="N30" s="89" t="s">
        <v>427</v>
      </c>
      <c r="O30" s="246" t="s">
        <v>31</v>
      </c>
      <c r="P30" s="283" t="s">
        <v>487</v>
      </c>
      <c r="Q30" s="48"/>
    </row>
    <row r="31" spans="2:22" ht="19.5" customHeight="1" x14ac:dyDescent="0.4">
      <c r="B31" s="303"/>
      <c r="C31" s="316"/>
      <c r="D31" s="303"/>
      <c r="E31" s="248"/>
      <c r="F31" s="277"/>
      <c r="G31" s="277"/>
      <c r="H31" s="248"/>
      <c r="K31" s="303" t="s">
        <v>11</v>
      </c>
      <c r="L31" s="316" t="s">
        <v>485</v>
      </c>
      <c r="M31" s="303" t="s">
        <v>486</v>
      </c>
      <c r="N31" s="89"/>
      <c r="O31" s="246" t="s">
        <v>31</v>
      </c>
      <c r="P31" s="283" t="s">
        <v>487</v>
      </c>
      <c r="Q31" s="48"/>
    </row>
    <row r="32" spans="2:22" ht="19.5" customHeight="1" thickBot="1" x14ac:dyDescent="0.45">
      <c r="B32" s="114" t="s">
        <v>0</v>
      </c>
      <c r="C32" s="115"/>
      <c r="D32" s="115"/>
      <c r="E32" s="115"/>
      <c r="F32" s="115"/>
      <c r="G32" s="116"/>
      <c r="H32" s="46">
        <f>COUNTA(C39:C39)</f>
        <v>1</v>
      </c>
      <c r="K32" s="52" t="s">
        <v>11</v>
      </c>
      <c r="L32" s="225" t="s">
        <v>189</v>
      </c>
      <c r="M32" s="76" t="s">
        <v>171</v>
      </c>
      <c r="N32" s="28" t="s">
        <v>233</v>
      </c>
      <c r="O32" s="246" t="s">
        <v>256</v>
      </c>
      <c r="P32" s="283" t="s">
        <v>378</v>
      </c>
      <c r="Q32" s="48" t="s">
        <v>248</v>
      </c>
    </row>
    <row r="33" spans="2:28" ht="19.5" customHeight="1" thickBot="1" x14ac:dyDescent="0.45">
      <c r="K33" s="85" t="s">
        <v>11</v>
      </c>
      <c r="L33" s="319" t="s">
        <v>319</v>
      </c>
      <c r="M33" s="57" t="s">
        <v>320</v>
      </c>
      <c r="N33" s="23" t="s">
        <v>238</v>
      </c>
      <c r="O33" s="246" t="s">
        <v>256</v>
      </c>
      <c r="P33" s="283" t="s">
        <v>375</v>
      </c>
      <c r="Q33" s="48" t="s">
        <v>277</v>
      </c>
      <c r="AA33" s="3"/>
      <c r="AB33" s="3"/>
    </row>
    <row r="34" spans="2:28" ht="19.5" customHeight="1" thickBot="1" x14ac:dyDescent="0.45">
      <c r="B34" s="333" t="s">
        <v>37</v>
      </c>
      <c r="C34" s="334"/>
      <c r="D34" s="334"/>
      <c r="E34" s="334"/>
      <c r="F34" s="334"/>
      <c r="G34" s="334"/>
      <c r="H34" s="335"/>
      <c r="I34" s="4"/>
      <c r="J34" s="4"/>
      <c r="K34" s="246" t="s">
        <v>11</v>
      </c>
      <c r="L34" s="229" t="s">
        <v>166</v>
      </c>
      <c r="M34" s="246" t="s">
        <v>167</v>
      </c>
      <c r="N34" s="245" t="s">
        <v>172</v>
      </c>
      <c r="O34" s="246" t="s">
        <v>31</v>
      </c>
      <c r="P34" s="283" t="s">
        <v>379</v>
      </c>
      <c r="Q34" s="248" t="s">
        <v>248</v>
      </c>
      <c r="T34" s="360" t="s">
        <v>53</v>
      </c>
      <c r="U34" s="361"/>
      <c r="V34" s="361"/>
      <c r="W34" s="361"/>
      <c r="X34" s="361"/>
      <c r="Y34" s="361"/>
      <c r="Z34" s="362"/>
      <c r="AA34" s="3"/>
      <c r="AB34" s="3"/>
    </row>
    <row r="35" spans="2:28" ht="19.5" customHeight="1" x14ac:dyDescent="0.4">
      <c r="B35" s="122" t="s">
        <v>7</v>
      </c>
      <c r="C35" s="123" t="s">
        <v>6</v>
      </c>
      <c r="D35" s="123" t="s">
        <v>5</v>
      </c>
      <c r="E35" s="123" t="s">
        <v>4</v>
      </c>
      <c r="F35" s="123" t="s">
        <v>3</v>
      </c>
      <c r="G35" s="123" t="s">
        <v>9</v>
      </c>
      <c r="H35" s="124" t="s">
        <v>1</v>
      </c>
      <c r="I35" s="3"/>
      <c r="J35" s="3"/>
      <c r="K35" s="309" t="s">
        <v>116</v>
      </c>
      <c r="L35" s="316" t="s">
        <v>405</v>
      </c>
      <c r="M35" s="246" t="s">
        <v>406</v>
      </c>
      <c r="N35" s="245" t="s">
        <v>231</v>
      </c>
      <c r="O35" s="246" t="s">
        <v>31</v>
      </c>
      <c r="P35" s="283" t="s">
        <v>407</v>
      </c>
      <c r="Q35" s="248"/>
      <c r="T35" s="107" t="s">
        <v>7</v>
      </c>
      <c r="U35" s="108" t="s">
        <v>6</v>
      </c>
      <c r="V35" s="108" t="s">
        <v>5</v>
      </c>
      <c r="W35" s="108" t="s">
        <v>4</v>
      </c>
      <c r="X35" s="108" t="s">
        <v>3</v>
      </c>
      <c r="Y35" s="108" t="s">
        <v>9</v>
      </c>
      <c r="Z35" s="109" t="s">
        <v>1</v>
      </c>
      <c r="AB35" s="3"/>
    </row>
    <row r="36" spans="2:28" ht="19.5" customHeight="1" x14ac:dyDescent="0.4">
      <c r="B36" s="220" t="s">
        <v>11</v>
      </c>
      <c r="C36" s="314" t="s">
        <v>268</v>
      </c>
      <c r="D36" s="218" t="s">
        <v>226</v>
      </c>
      <c r="E36" s="221" t="s">
        <v>243</v>
      </c>
      <c r="F36" s="43" t="s">
        <v>20</v>
      </c>
      <c r="G36" s="228" t="s">
        <v>368</v>
      </c>
      <c r="H36" s="48" t="s">
        <v>269</v>
      </c>
      <c r="I36" s="3"/>
      <c r="J36" s="3"/>
      <c r="K36" s="96"/>
      <c r="L36" s="93"/>
      <c r="M36" s="96"/>
      <c r="N36" s="96"/>
      <c r="O36" s="96"/>
      <c r="P36" s="96"/>
      <c r="Q36" s="97"/>
      <c r="T36" s="85" t="s">
        <v>11</v>
      </c>
      <c r="U36" s="319" t="s">
        <v>356</v>
      </c>
      <c r="V36" s="57" t="s">
        <v>318</v>
      </c>
      <c r="W36" s="28" t="s">
        <v>233</v>
      </c>
      <c r="X36" s="246" t="s">
        <v>53</v>
      </c>
      <c r="Y36" s="228" t="s">
        <v>413</v>
      </c>
      <c r="Z36" s="48" t="s">
        <v>269</v>
      </c>
      <c r="AA36" s="3"/>
      <c r="AB36" s="3"/>
    </row>
    <row r="37" spans="2:28" ht="19.5" customHeight="1" thickBot="1" x14ac:dyDescent="0.45">
      <c r="B37" s="52" t="s">
        <v>11</v>
      </c>
      <c r="C37" s="276" t="s">
        <v>350</v>
      </c>
      <c r="D37" s="230" t="s">
        <v>351</v>
      </c>
      <c r="E37" s="23" t="s">
        <v>392</v>
      </c>
      <c r="F37" s="43" t="s">
        <v>20</v>
      </c>
      <c r="G37" s="228" t="s">
        <v>368</v>
      </c>
      <c r="H37" s="36" t="s">
        <v>269</v>
      </c>
      <c r="I37" s="3"/>
      <c r="J37" s="3"/>
      <c r="K37" s="100"/>
      <c r="L37" s="101" t="s">
        <v>30</v>
      </c>
      <c r="M37" s="102">
        <f>COUNTIF(O4:O36,"Лік.Хвор")</f>
        <v>9</v>
      </c>
      <c r="N37" s="101" t="s">
        <v>34</v>
      </c>
      <c r="O37" s="102">
        <f>COUNTIF(O4:O36,"Лік.Пор")</f>
        <v>23</v>
      </c>
      <c r="P37" s="103" t="s">
        <v>13</v>
      </c>
      <c r="Q37" s="46">
        <f>SUM(O37,M37)</f>
        <v>32</v>
      </c>
      <c r="T37" s="85" t="s">
        <v>11</v>
      </c>
      <c r="U37" s="315" t="s">
        <v>308</v>
      </c>
      <c r="V37" s="52" t="s">
        <v>309</v>
      </c>
      <c r="W37" s="23" t="s">
        <v>237</v>
      </c>
      <c r="X37" s="246" t="s">
        <v>53</v>
      </c>
      <c r="Y37" s="228" t="s">
        <v>412</v>
      </c>
      <c r="Z37" s="48" t="s">
        <v>269</v>
      </c>
      <c r="AA37" s="3"/>
      <c r="AB37" s="3"/>
    </row>
    <row r="38" spans="2:28" ht="19.5" customHeight="1" x14ac:dyDescent="0.4">
      <c r="B38" s="52" t="s">
        <v>11</v>
      </c>
      <c r="C38" s="276" t="s">
        <v>352</v>
      </c>
      <c r="D38" s="230" t="s">
        <v>353</v>
      </c>
      <c r="E38" s="97" t="s">
        <v>237</v>
      </c>
      <c r="F38" s="43" t="s">
        <v>391</v>
      </c>
      <c r="G38" s="219" t="s">
        <v>390</v>
      </c>
      <c r="H38" s="36" t="s">
        <v>269</v>
      </c>
      <c r="I38" s="3"/>
      <c r="J38" s="3"/>
      <c r="T38" s="85" t="s">
        <v>11</v>
      </c>
      <c r="U38" s="318" t="s">
        <v>322</v>
      </c>
      <c r="V38" s="57" t="s">
        <v>323</v>
      </c>
      <c r="W38" s="23" t="s">
        <v>243</v>
      </c>
      <c r="X38" s="246" t="s">
        <v>53</v>
      </c>
      <c r="Y38" s="228" t="s">
        <v>413</v>
      </c>
      <c r="Z38" s="48" t="s">
        <v>269</v>
      </c>
      <c r="AA38" s="3"/>
      <c r="AB38" s="3"/>
    </row>
    <row r="39" spans="2:28" ht="19.5" customHeight="1" thickBot="1" x14ac:dyDescent="0.45">
      <c r="B39" s="224" t="s">
        <v>11</v>
      </c>
      <c r="C39" s="225" t="s">
        <v>188</v>
      </c>
      <c r="D39" s="226" t="s">
        <v>279</v>
      </c>
      <c r="E39" s="227" t="s">
        <v>238</v>
      </c>
      <c r="F39" s="43" t="s">
        <v>391</v>
      </c>
      <c r="G39" s="228" t="s">
        <v>368</v>
      </c>
      <c r="H39" s="223" t="s">
        <v>269</v>
      </c>
      <c r="I39" s="3"/>
      <c r="J39" s="3"/>
      <c r="T39" s="85" t="s">
        <v>11</v>
      </c>
      <c r="U39" s="321" t="s">
        <v>365</v>
      </c>
      <c r="V39" s="279" t="s">
        <v>366</v>
      </c>
      <c r="W39" s="278" t="s">
        <v>241</v>
      </c>
      <c r="X39" s="246" t="s">
        <v>53</v>
      </c>
      <c r="Y39" s="228" t="s">
        <v>421</v>
      </c>
      <c r="Z39" s="278" t="s">
        <v>91</v>
      </c>
      <c r="AA39" s="3"/>
      <c r="AB39" s="3"/>
    </row>
    <row r="40" spans="2:28" ht="19.5" customHeight="1" x14ac:dyDescent="0.4">
      <c r="B40" s="85" t="s">
        <v>11</v>
      </c>
      <c r="C40" s="315" t="s">
        <v>298</v>
      </c>
      <c r="D40" s="242" t="s">
        <v>299</v>
      </c>
      <c r="E40" s="23" t="s">
        <v>241</v>
      </c>
      <c r="F40" s="43" t="s">
        <v>391</v>
      </c>
      <c r="G40" s="228" t="s">
        <v>368</v>
      </c>
      <c r="H40" s="48" t="s">
        <v>269</v>
      </c>
      <c r="I40" s="3"/>
      <c r="J40" s="3"/>
      <c r="K40" s="350" t="s">
        <v>33</v>
      </c>
      <c r="L40" s="351"/>
      <c r="M40" s="351"/>
      <c r="N40" s="351"/>
      <c r="O40" s="351"/>
      <c r="P40" s="351"/>
      <c r="Q40" s="352"/>
      <c r="T40" s="303" t="s">
        <v>11</v>
      </c>
      <c r="U40" s="316" t="s">
        <v>481</v>
      </c>
      <c r="V40" s="303" t="s">
        <v>482</v>
      </c>
      <c r="W40" s="278"/>
      <c r="X40" s="246" t="s">
        <v>53</v>
      </c>
      <c r="Y40" s="228" t="s">
        <v>472</v>
      </c>
      <c r="Z40" s="48" t="s">
        <v>269</v>
      </c>
      <c r="AA40" s="3"/>
      <c r="AB40" s="3"/>
    </row>
    <row r="41" spans="2:28" ht="19.5" customHeight="1" x14ac:dyDescent="0.4">
      <c r="B41" s="85" t="s">
        <v>11</v>
      </c>
      <c r="C41" s="276" t="s">
        <v>354</v>
      </c>
      <c r="D41" s="94" t="s">
        <v>355</v>
      </c>
      <c r="E41" s="28" t="s">
        <v>233</v>
      </c>
      <c r="F41" s="43" t="s">
        <v>391</v>
      </c>
      <c r="G41" s="106" t="s">
        <v>390</v>
      </c>
      <c r="H41" s="48" t="s">
        <v>269</v>
      </c>
      <c r="I41" s="3"/>
      <c r="J41" s="3"/>
      <c r="K41" s="8" t="s">
        <v>7</v>
      </c>
      <c r="L41" s="9" t="s">
        <v>6</v>
      </c>
      <c r="M41" s="9" t="s">
        <v>5</v>
      </c>
      <c r="N41" s="9" t="s">
        <v>4</v>
      </c>
      <c r="O41" s="9" t="s">
        <v>3</v>
      </c>
      <c r="P41" s="9" t="s">
        <v>9</v>
      </c>
      <c r="Q41" s="10" t="s">
        <v>1</v>
      </c>
      <c r="T41" s="305" t="s">
        <v>11</v>
      </c>
      <c r="U41" s="316" t="s">
        <v>470</v>
      </c>
      <c r="V41" s="305" t="s">
        <v>471</v>
      </c>
      <c r="W41" s="278"/>
      <c r="X41" s="246" t="s">
        <v>53</v>
      </c>
      <c r="Y41" s="228" t="s">
        <v>472</v>
      </c>
      <c r="Z41" s="48" t="s">
        <v>269</v>
      </c>
      <c r="AA41" s="3"/>
      <c r="AB41" s="3"/>
    </row>
    <row r="42" spans="2:28" ht="19.5" customHeight="1" x14ac:dyDescent="0.4">
      <c r="B42" s="85"/>
      <c r="C42" s="93"/>
      <c r="D42" s="94"/>
      <c r="E42" s="28"/>
      <c r="F42" s="43"/>
      <c r="G42" s="106"/>
      <c r="H42" s="48"/>
      <c r="I42" s="3"/>
      <c r="J42" s="3"/>
      <c r="K42" s="96"/>
      <c r="L42" s="276"/>
      <c r="M42" s="96"/>
      <c r="N42" s="96"/>
      <c r="O42" s="96"/>
      <c r="P42" s="277"/>
      <c r="Q42" s="97"/>
      <c r="T42" s="303" t="s">
        <v>11</v>
      </c>
      <c r="U42" s="316" t="s">
        <v>468</v>
      </c>
      <c r="V42" s="303" t="s">
        <v>469</v>
      </c>
      <c r="W42" s="278" t="s">
        <v>233</v>
      </c>
      <c r="X42" s="246" t="s">
        <v>53</v>
      </c>
      <c r="Y42" s="228" t="s">
        <v>413</v>
      </c>
      <c r="Z42" s="48" t="s">
        <v>269</v>
      </c>
      <c r="AA42" s="263"/>
      <c r="AB42" s="3"/>
    </row>
    <row r="43" spans="2:28" ht="19.5" customHeight="1" thickBot="1" x14ac:dyDescent="0.45">
      <c r="B43" s="133" t="s">
        <v>0</v>
      </c>
      <c r="C43" s="134"/>
      <c r="D43" s="134"/>
      <c r="E43" s="134"/>
      <c r="F43" s="134"/>
      <c r="G43" s="135"/>
      <c r="H43" s="46">
        <f>COUNTA(C36:C42)</f>
        <v>6</v>
      </c>
      <c r="I43" s="3"/>
      <c r="J43" s="3"/>
      <c r="K43" s="95"/>
      <c r="L43" s="93"/>
      <c r="M43" s="95"/>
      <c r="N43" s="95"/>
      <c r="O43" s="95"/>
      <c r="P43" s="95"/>
      <c r="Q43" s="48"/>
      <c r="T43" s="85" t="s">
        <v>11</v>
      </c>
      <c r="U43" s="315" t="s">
        <v>324</v>
      </c>
      <c r="V43" s="85" t="s">
        <v>325</v>
      </c>
      <c r="W43" s="72"/>
      <c r="X43" s="246" t="s">
        <v>53</v>
      </c>
      <c r="Y43" s="228" t="s">
        <v>413</v>
      </c>
      <c r="Z43" s="48" t="s">
        <v>269</v>
      </c>
      <c r="AA43" s="3"/>
      <c r="AB43" s="3"/>
    </row>
    <row r="44" spans="2:28" ht="19.5" customHeight="1" thickBot="1" x14ac:dyDescent="0.45">
      <c r="B44" s="136"/>
      <c r="C44" s="137"/>
      <c r="D44" s="138"/>
      <c r="E44" s="139"/>
      <c r="F44" s="139"/>
      <c r="G44" s="139"/>
      <c r="H44" s="140"/>
      <c r="I44" s="3"/>
      <c r="J44" s="3"/>
      <c r="K44" s="100"/>
      <c r="L44" s="101" t="s">
        <v>30</v>
      </c>
      <c r="M44" s="102">
        <f>COUNTIF(O43:O43,"Лік.Хвор")</f>
        <v>0</v>
      </c>
      <c r="N44" s="101" t="s">
        <v>29</v>
      </c>
      <c r="O44" s="102">
        <f>COUNTIF(O42:O43,"Лік.Пор")</f>
        <v>0</v>
      </c>
      <c r="P44" s="103" t="s">
        <v>13</v>
      </c>
      <c r="Q44" s="46">
        <f>O44+M44</f>
        <v>0</v>
      </c>
      <c r="T44" s="303" t="s">
        <v>11</v>
      </c>
      <c r="U44" s="316" t="s">
        <v>461</v>
      </c>
      <c r="V44" s="303" t="s">
        <v>462</v>
      </c>
      <c r="W44" s="72" t="s">
        <v>238</v>
      </c>
      <c r="X44" s="246" t="s">
        <v>53</v>
      </c>
      <c r="Y44" s="228" t="s">
        <v>413</v>
      </c>
      <c r="Z44" s="48" t="s">
        <v>269</v>
      </c>
      <c r="AA44" s="3"/>
      <c r="AB44" s="3"/>
    </row>
    <row r="45" spans="2:28" ht="19.5" customHeight="1" thickBot="1" x14ac:dyDescent="0.45">
      <c r="B45" s="333" t="s">
        <v>86</v>
      </c>
      <c r="C45" s="334"/>
      <c r="D45" s="334"/>
      <c r="E45" s="334"/>
      <c r="F45" s="334"/>
      <c r="G45" s="334"/>
      <c r="H45" s="335"/>
      <c r="I45" s="3"/>
      <c r="J45" s="3"/>
      <c r="T45" s="303"/>
      <c r="U45" s="316"/>
      <c r="V45" s="303"/>
      <c r="W45" s="72"/>
      <c r="X45" s="246"/>
      <c r="Y45" s="228"/>
      <c r="Z45" s="48"/>
      <c r="AA45" s="3"/>
      <c r="AB45" s="3"/>
    </row>
    <row r="46" spans="2:28" ht="19.5" customHeight="1" x14ac:dyDescent="0.4">
      <c r="B46" s="296" t="s">
        <v>7</v>
      </c>
      <c r="C46" s="297" t="s">
        <v>6</v>
      </c>
      <c r="D46" s="323" t="s">
        <v>5</v>
      </c>
      <c r="E46" s="324" t="s">
        <v>4</v>
      </c>
      <c r="F46" s="325" t="s">
        <v>3</v>
      </c>
      <c r="G46" s="297" t="s">
        <v>9</v>
      </c>
      <c r="H46" s="298" t="s">
        <v>1</v>
      </c>
      <c r="I46" s="3"/>
      <c r="J46" s="3"/>
      <c r="K46" s="330" t="s">
        <v>28</v>
      </c>
      <c r="L46" s="331"/>
      <c r="M46" s="331"/>
      <c r="N46" s="331"/>
      <c r="O46" s="331"/>
      <c r="P46" s="331"/>
      <c r="Q46" s="332"/>
      <c r="T46" s="264"/>
      <c r="U46" s="265"/>
      <c r="V46" s="266"/>
      <c r="W46" s="265"/>
      <c r="X46" s="267"/>
      <c r="Y46" s="268" t="s">
        <v>13</v>
      </c>
      <c r="Z46" s="269">
        <f>COUNTA(U36:U45)</f>
        <v>9</v>
      </c>
      <c r="AA46" s="3"/>
      <c r="AB46" s="3"/>
    </row>
    <row r="47" spans="2:28" ht="19.5" customHeight="1" thickBot="1" x14ac:dyDescent="0.45">
      <c r="B47" s="303" t="s">
        <v>11</v>
      </c>
      <c r="C47" s="316" t="s">
        <v>105</v>
      </c>
      <c r="D47" s="303" t="s">
        <v>488</v>
      </c>
      <c r="E47" s="97"/>
      <c r="F47" s="97" t="s">
        <v>20</v>
      </c>
      <c r="G47" s="228" t="s">
        <v>368</v>
      </c>
      <c r="H47" s="97" t="s">
        <v>269</v>
      </c>
      <c r="I47" s="3"/>
      <c r="J47" s="3"/>
      <c r="K47" s="110" t="s">
        <v>7</v>
      </c>
      <c r="L47" s="111" t="s">
        <v>6</v>
      </c>
      <c r="M47" s="111" t="s">
        <v>5</v>
      </c>
      <c r="N47" s="111" t="s">
        <v>4</v>
      </c>
      <c r="O47" s="111" t="s">
        <v>3</v>
      </c>
      <c r="P47" s="111" t="s">
        <v>9</v>
      </c>
      <c r="Q47" s="112" t="s">
        <v>1</v>
      </c>
      <c r="T47" s="262"/>
      <c r="U47" s="259"/>
      <c r="V47" s="260"/>
      <c r="W47" s="259"/>
      <c r="X47" s="261"/>
      <c r="Y47" s="259"/>
      <c r="Z47" s="261"/>
      <c r="AA47" s="3"/>
      <c r="AB47" s="3"/>
    </row>
    <row r="48" spans="2:28" ht="19.5" customHeight="1" x14ac:dyDescent="0.45">
      <c r="B48" s="18"/>
      <c r="C48" s="17"/>
      <c r="D48" s="18"/>
      <c r="E48" s="73"/>
      <c r="F48" s="18"/>
      <c r="G48" s="35"/>
      <c r="H48" s="27"/>
      <c r="K48" s="51" t="s">
        <v>11</v>
      </c>
      <c r="L48" s="229" t="s">
        <v>192</v>
      </c>
      <c r="M48" s="118" t="s">
        <v>126</v>
      </c>
      <c r="N48" s="28" t="s">
        <v>235</v>
      </c>
      <c r="O48" s="22" t="s">
        <v>21</v>
      </c>
      <c r="P48" s="34" t="s">
        <v>364</v>
      </c>
      <c r="Q48" s="53" t="s">
        <v>248</v>
      </c>
      <c r="R48" s="16"/>
      <c r="S48" s="131"/>
      <c r="T48" s="356" t="s">
        <v>210</v>
      </c>
      <c r="U48" s="357"/>
      <c r="V48" s="357"/>
      <c r="W48" s="357"/>
      <c r="X48" s="357"/>
      <c r="Y48" s="357"/>
      <c r="Z48" s="358"/>
      <c r="AA48" s="3"/>
      <c r="AB48" s="3"/>
    </row>
    <row r="49" spans="2:28" ht="19.5" customHeight="1" thickBot="1" x14ac:dyDescent="0.45">
      <c r="B49" s="293" t="s">
        <v>0</v>
      </c>
      <c r="C49" s="294"/>
      <c r="D49" s="294"/>
      <c r="E49" s="294"/>
      <c r="F49" s="294"/>
      <c r="G49" s="295"/>
      <c r="H49" s="46">
        <f>COUNTA(C47:C48)</f>
        <v>1</v>
      </c>
      <c r="K49" s="21" t="s">
        <v>11</v>
      </c>
      <c r="L49" s="313" t="s">
        <v>204</v>
      </c>
      <c r="M49" s="22" t="s">
        <v>138</v>
      </c>
      <c r="N49" s="23" t="s">
        <v>237</v>
      </c>
      <c r="O49" s="22" t="s">
        <v>21</v>
      </c>
      <c r="P49" s="90" t="s">
        <v>376</v>
      </c>
      <c r="Q49" s="25" t="s">
        <v>248</v>
      </c>
      <c r="T49" s="107" t="s">
        <v>7</v>
      </c>
      <c r="U49" s="108" t="s">
        <v>6</v>
      </c>
      <c r="V49" s="108" t="s">
        <v>5</v>
      </c>
      <c r="W49" s="108" t="s">
        <v>4</v>
      </c>
      <c r="X49" s="108" t="s">
        <v>3</v>
      </c>
      <c r="Y49" s="108" t="s">
        <v>9</v>
      </c>
      <c r="Z49" s="109" t="s">
        <v>1</v>
      </c>
      <c r="AA49" s="3"/>
      <c r="AB49" s="3"/>
    </row>
    <row r="50" spans="2:28" ht="19.5" customHeight="1" thickBot="1" x14ac:dyDescent="0.45">
      <c r="B50" s="3"/>
      <c r="D50" s="3"/>
      <c r="E50" s="3"/>
      <c r="F50" s="3"/>
      <c r="G50" s="3"/>
      <c r="H50" s="3"/>
      <c r="K50" s="52" t="s">
        <v>11</v>
      </c>
      <c r="L50" s="282" t="s">
        <v>194</v>
      </c>
      <c r="M50" s="52" t="s">
        <v>128</v>
      </c>
      <c r="N50" s="289" t="s">
        <v>71</v>
      </c>
      <c r="O50" s="117" t="s">
        <v>21</v>
      </c>
      <c r="P50" s="90" t="s">
        <v>335</v>
      </c>
      <c r="Q50" s="48" t="s">
        <v>248</v>
      </c>
      <c r="T50" s="21" t="s">
        <v>11</v>
      </c>
      <c r="U50" s="229" t="s">
        <v>187</v>
      </c>
      <c r="V50" s="22" t="s">
        <v>168</v>
      </c>
      <c r="W50" s="28" t="s">
        <v>228</v>
      </c>
      <c r="X50" s="22" t="s">
        <v>362</v>
      </c>
      <c r="Y50" s="219" t="s">
        <v>389</v>
      </c>
      <c r="Z50" s="53" t="s">
        <v>248</v>
      </c>
      <c r="AA50" s="3"/>
      <c r="AB50" s="3"/>
    </row>
    <row r="51" spans="2:28" ht="19.5" customHeight="1" x14ac:dyDescent="0.4">
      <c r="B51" s="330" t="s">
        <v>257</v>
      </c>
      <c r="C51" s="331"/>
      <c r="D51" s="331"/>
      <c r="E51" s="331"/>
      <c r="F51" s="331"/>
      <c r="G51" s="331"/>
      <c r="H51" s="332"/>
      <c r="K51" s="22" t="s">
        <v>11</v>
      </c>
      <c r="L51" s="229" t="s">
        <v>47</v>
      </c>
      <c r="M51" s="22" t="s">
        <v>146</v>
      </c>
      <c r="N51" s="28" t="s">
        <v>236</v>
      </c>
      <c r="O51" s="22" t="s">
        <v>21</v>
      </c>
      <c r="P51" s="240" t="s">
        <v>384</v>
      </c>
      <c r="Q51" s="48" t="s">
        <v>248</v>
      </c>
      <c r="T51" s="255" t="s">
        <v>11</v>
      </c>
      <c r="U51" s="256" t="s">
        <v>273</v>
      </c>
      <c r="V51" s="255" t="s">
        <v>274</v>
      </c>
      <c r="W51" s="245" t="s">
        <v>240</v>
      </c>
      <c r="X51" s="22" t="s">
        <v>362</v>
      </c>
      <c r="Y51" s="219" t="s">
        <v>389</v>
      </c>
      <c r="Z51" s="248" t="s">
        <v>269</v>
      </c>
      <c r="AA51" s="3"/>
    </row>
    <row r="52" spans="2:28" ht="19.5" customHeight="1" x14ac:dyDescent="0.4">
      <c r="B52" s="8" t="s">
        <v>7</v>
      </c>
      <c r="C52" s="9" t="s">
        <v>6</v>
      </c>
      <c r="D52" s="9" t="s">
        <v>5</v>
      </c>
      <c r="E52" s="9" t="s">
        <v>4</v>
      </c>
      <c r="F52" s="9" t="s">
        <v>3</v>
      </c>
      <c r="G52" s="9" t="s">
        <v>9</v>
      </c>
      <c r="H52" s="10" t="s">
        <v>1</v>
      </c>
      <c r="K52" s="21" t="s">
        <v>11</v>
      </c>
      <c r="L52" s="229" t="s">
        <v>164</v>
      </c>
      <c r="M52" s="22" t="s">
        <v>165</v>
      </c>
      <c r="N52" s="23" t="s">
        <v>234</v>
      </c>
      <c r="O52" s="22" t="s">
        <v>21</v>
      </c>
      <c r="P52" s="90" t="s">
        <v>372</v>
      </c>
      <c r="Q52" s="53" t="s">
        <v>248</v>
      </c>
      <c r="T52" s="243" t="s">
        <v>11</v>
      </c>
      <c r="U52" s="318" t="s">
        <v>262</v>
      </c>
      <c r="V52" s="244" t="s">
        <v>263</v>
      </c>
      <c r="W52" s="245" t="s">
        <v>284</v>
      </c>
      <c r="X52" s="22" t="s">
        <v>362</v>
      </c>
      <c r="Y52" s="219" t="s">
        <v>389</v>
      </c>
      <c r="Z52" s="223" t="s">
        <v>248</v>
      </c>
    </row>
    <row r="53" spans="2:28" ht="19.5" customHeight="1" x14ac:dyDescent="0.4">
      <c r="B53" s="305" t="s">
        <v>415</v>
      </c>
      <c r="C53" s="316" t="s">
        <v>459</v>
      </c>
      <c r="D53" s="303" t="s">
        <v>460</v>
      </c>
      <c r="E53" s="97" t="s">
        <v>445</v>
      </c>
      <c r="F53" s="97" t="s">
        <v>20</v>
      </c>
      <c r="G53" s="228" t="s">
        <v>368</v>
      </c>
      <c r="H53" s="97" t="s">
        <v>269</v>
      </c>
      <c r="K53" s="16" t="s">
        <v>11</v>
      </c>
      <c r="L53" s="252" t="s">
        <v>101</v>
      </c>
      <c r="M53" s="132" t="s">
        <v>100</v>
      </c>
      <c r="N53" s="97" t="s">
        <v>244</v>
      </c>
      <c r="O53" s="246" t="s">
        <v>21</v>
      </c>
      <c r="P53" s="232" t="s">
        <v>422</v>
      </c>
      <c r="Q53" s="204" t="s">
        <v>269</v>
      </c>
      <c r="T53" s="21" t="s">
        <v>11</v>
      </c>
      <c r="U53" s="252" t="s">
        <v>334</v>
      </c>
      <c r="V53" s="80" t="s">
        <v>97</v>
      </c>
      <c r="W53" s="95"/>
      <c r="X53" s="22" t="s">
        <v>362</v>
      </c>
      <c r="Y53" s="219" t="s">
        <v>389</v>
      </c>
      <c r="Z53" s="223" t="s">
        <v>248</v>
      </c>
    </row>
    <row r="54" spans="2:28" ht="19.5" customHeight="1" x14ac:dyDescent="0.4">
      <c r="B54" s="97"/>
      <c r="C54" s="151"/>
      <c r="D54" s="230"/>
      <c r="E54" s="96"/>
      <c r="F54" s="96"/>
      <c r="G54" s="96"/>
      <c r="H54" s="97"/>
      <c r="K54" s="22" t="s">
        <v>11</v>
      </c>
      <c r="L54" s="229" t="s">
        <v>214</v>
      </c>
      <c r="M54" s="22" t="s">
        <v>221</v>
      </c>
      <c r="N54" s="23" t="s">
        <v>255</v>
      </c>
      <c r="O54" s="22" t="s">
        <v>21</v>
      </c>
      <c r="P54" s="250" t="s">
        <v>359</v>
      </c>
      <c r="Q54" s="248" t="s">
        <v>269</v>
      </c>
      <c r="T54" s="85"/>
      <c r="U54" s="254"/>
      <c r="V54" s="41"/>
      <c r="W54" s="58"/>
      <c r="X54" s="22"/>
      <c r="Y54" s="219"/>
      <c r="Z54" s="36"/>
    </row>
    <row r="55" spans="2:28" ht="19.5" customHeight="1" thickBot="1" x14ac:dyDescent="0.45">
      <c r="B55" s="353" t="s">
        <v>0</v>
      </c>
      <c r="C55" s="354"/>
      <c r="D55" s="354"/>
      <c r="E55" s="354"/>
      <c r="F55" s="354"/>
      <c r="G55" s="355"/>
      <c r="H55" s="152">
        <f>COUNTA(C53:C54)</f>
        <v>1</v>
      </c>
      <c r="K55" s="56" t="s">
        <v>11</v>
      </c>
      <c r="L55" s="318" t="s">
        <v>250</v>
      </c>
      <c r="M55" s="57" t="s">
        <v>251</v>
      </c>
      <c r="N55" s="58" t="s">
        <v>237</v>
      </c>
      <c r="O55" s="22" t="s">
        <v>21</v>
      </c>
      <c r="P55" s="24" t="s">
        <v>376</v>
      </c>
      <c r="Q55" s="248" t="s">
        <v>269</v>
      </c>
      <c r="T55" s="270"/>
      <c r="U55" s="271"/>
      <c r="V55" s="272"/>
      <c r="W55" s="271"/>
      <c r="X55" s="273"/>
      <c r="Y55" s="274" t="s">
        <v>13</v>
      </c>
      <c r="Z55" s="275">
        <f>COUNTA(U50:U54)</f>
        <v>4</v>
      </c>
    </row>
    <row r="56" spans="2:28" ht="19.5" customHeight="1" thickBot="1" x14ac:dyDescent="0.45">
      <c r="B56" s="154"/>
      <c r="C56" s="154"/>
      <c r="D56" s="154"/>
      <c r="E56" s="154"/>
      <c r="F56" s="154"/>
      <c r="G56" s="154"/>
      <c r="H56" s="155"/>
      <c r="K56" s="85" t="s">
        <v>11</v>
      </c>
      <c r="L56" s="315" t="s">
        <v>286</v>
      </c>
      <c r="M56" s="52" t="s">
        <v>287</v>
      </c>
      <c r="N56" s="23" t="s">
        <v>234</v>
      </c>
      <c r="O56" s="22" t="s">
        <v>21</v>
      </c>
      <c r="P56" s="90" t="s">
        <v>381</v>
      </c>
      <c r="Q56" s="48" t="s">
        <v>269</v>
      </c>
      <c r="U56" s="1"/>
      <c r="Z56" s="1"/>
    </row>
    <row r="57" spans="2:28" ht="19.5" customHeight="1" x14ac:dyDescent="0.4">
      <c r="B57" s="330" t="s">
        <v>54</v>
      </c>
      <c r="C57" s="331"/>
      <c r="D57" s="331"/>
      <c r="E57" s="331"/>
      <c r="F57" s="331"/>
      <c r="G57" s="331"/>
      <c r="H57" s="332"/>
      <c r="K57" s="47" t="s">
        <v>11</v>
      </c>
      <c r="L57" s="314" t="s">
        <v>219</v>
      </c>
      <c r="M57" s="43" t="s">
        <v>142</v>
      </c>
      <c r="N57" s="42" t="s">
        <v>244</v>
      </c>
      <c r="O57" s="22" t="s">
        <v>21</v>
      </c>
      <c r="P57" s="24" t="s">
        <v>344</v>
      </c>
      <c r="Q57" s="53" t="s">
        <v>248</v>
      </c>
      <c r="T57" s="330" t="s">
        <v>40</v>
      </c>
      <c r="U57" s="331"/>
      <c r="V57" s="331"/>
      <c r="W57" s="331"/>
      <c r="X57" s="331"/>
      <c r="Y57" s="331"/>
      <c r="Z57" s="332"/>
    </row>
    <row r="58" spans="2:28" ht="19.5" customHeight="1" x14ac:dyDescent="0.4">
      <c r="B58" s="8" t="s">
        <v>7</v>
      </c>
      <c r="C58" s="9" t="s">
        <v>6</v>
      </c>
      <c r="D58" s="9" t="s">
        <v>5</v>
      </c>
      <c r="E58" s="9" t="s">
        <v>4</v>
      </c>
      <c r="F58" s="9" t="s">
        <v>3</v>
      </c>
      <c r="G58" s="9" t="s">
        <v>9</v>
      </c>
      <c r="H58" s="10" t="s">
        <v>1</v>
      </c>
      <c r="K58" s="47"/>
      <c r="L58" s="69"/>
      <c r="M58" s="43"/>
      <c r="N58" s="42"/>
      <c r="O58" s="43"/>
      <c r="P58" s="231"/>
      <c r="Q58" s="36"/>
      <c r="T58" s="8" t="s">
        <v>7</v>
      </c>
      <c r="U58" s="9" t="s">
        <v>6</v>
      </c>
      <c r="V58" s="9" t="s">
        <v>5</v>
      </c>
      <c r="W58" s="9" t="s">
        <v>4</v>
      </c>
      <c r="X58" s="9" t="s">
        <v>3</v>
      </c>
      <c r="Y58" s="9" t="s">
        <v>9</v>
      </c>
      <c r="Z58" s="10" t="s">
        <v>1</v>
      </c>
    </row>
    <row r="59" spans="2:28" ht="19.5" customHeight="1" thickBot="1" x14ac:dyDescent="0.45">
      <c r="B59" s="56" t="s">
        <v>11</v>
      </c>
      <c r="C59" s="280" t="s">
        <v>96</v>
      </c>
      <c r="D59" s="80" t="s">
        <v>95</v>
      </c>
      <c r="E59" s="248" t="s">
        <v>367</v>
      </c>
      <c r="F59" s="43" t="s">
        <v>20</v>
      </c>
      <c r="G59" s="228" t="s">
        <v>368</v>
      </c>
      <c r="H59" s="81" t="s">
        <v>269</v>
      </c>
      <c r="K59" s="100"/>
      <c r="L59" s="101" t="s">
        <v>19</v>
      </c>
      <c r="M59" s="102">
        <f>COUNTIF(O22:O58,"Лік.Відп.")</f>
        <v>10</v>
      </c>
      <c r="N59" s="101" t="s">
        <v>18</v>
      </c>
      <c r="O59" s="102">
        <f>COUNTIF(O22:O58,"Відп.")</f>
        <v>0</v>
      </c>
      <c r="P59" s="103" t="s">
        <v>13</v>
      </c>
      <c r="Q59" s="46">
        <f>O59+M59</f>
        <v>10</v>
      </c>
      <c r="T59" s="16" t="s">
        <v>11</v>
      </c>
      <c r="U59" s="17" t="s">
        <v>36</v>
      </c>
      <c r="V59" s="26" t="s">
        <v>143</v>
      </c>
      <c r="W59" s="96" t="s">
        <v>245</v>
      </c>
      <c r="X59" s="18" t="s">
        <v>140</v>
      </c>
      <c r="Y59" s="18" t="s">
        <v>35</v>
      </c>
      <c r="Z59" s="20" t="s">
        <v>248</v>
      </c>
    </row>
    <row r="60" spans="2:28" ht="19.5" customHeight="1" thickBot="1" x14ac:dyDescent="0.45">
      <c r="B60" s="97"/>
      <c r="C60" s="151"/>
      <c r="D60" s="230"/>
      <c r="E60" s="96"/>
      <c r="F60" s="96"/>
      <c r="G60" s="96"/>
      <c r="H60" s="97"/>
      <c r="L60" s="1"/>
      <c r="Q60" s="1"/>
      <c r="T60" s="16" t="s">
        <v>181</v>
      </c>
      <c r="U60" s="17" t="s">
        <v>182</v>
      </c>
      <c r="V60" s="18" t="s">
        <v>183</v>
      </c>
      <c r="W60" s="19" t="s">
        <v>246</v>
      </c>
      <c r="X60" s="18" t="s">
        <v>140</v>
      </c>
      <c r="Y60" s="18" t="s">
        <v>35</v>
      </c>
      <c r="Z60" s="65" t="s">
        <v>248</v>
      </c>
    </row>
    <row r="61" spans="2:28" ht="19.5" customHeight="1" thickBot="1" x14ac:dyDescent="0.45">
      <c r="B61" s="168" t="s">
        <v>0</v>
      </c>
      <c r="C61" s="169"/>
      <c r="D61" s="169"/>
      <c r="E61" s="169"/>
      <c r="F61" s="169"/>
      <c r="G61" s="170"/>
      <c r="H61" s="152">
        <f>COUNTA(C59:C60)</f>
        <v>1</v>
      </c>
      <c r="K61" s="363" t="s">
        <v>17</v>
      </c>
      <c r="L61" s="364"/>
      <c r="M61" s="364"/>
      <c r="N61" s="364"/>
      <c r="O61" s="364"/>
      <c r="P61" s="364"/>
      <c r="Q61" s="365"/>
      <c r="T61" s="21" t="s">
        <v>11</v>
      </c>
      <c r="U61" s="17" t="s">
        <v>216</v>
      </c>
      <c r="V61" s="22" t="s">
        <v>223</v>
      </c>
      <c r="W61" s="23" t="s">
        <v>254</v>
      </c>
      <c r="X61" s="22" t="s">
        <v>140</v>
      </c>
      <c r="Y61" s="22" t="s">
        <v>35</v>
      </c>
      <c r="Z61" s="53" t="s">
        <v>248</v>
      </c>
    </row>
    <row r="62" spans="2:28" ht="19.5" customHeight="1" x14ac:dyDescent="0.4">
      <c r="B62" s="359"/>
      <c r="C62" s="359"/>
      <c r="D62" s="359"/>
      <c r="E62" s="359"/>
      <c r="F62" s="359"/>
      <c r="G62" s="359"/>
      <c r="H62" s="359"/>
      <c r="K62" s="8" t="s">
        <v>7</v>
      </c>
      <c r="L62" s="9" t="s">
        <v>6</v>
      </c>
      <c r="M62" s="9" t="s">
        <v>5</v>
      </c>
      <c r="N62" s="9" t="s">
        <v>4</v>
      </c>
      <c r="O62" s="9" t="s">
        <v>3</v>
      </c>
      <c r="P62" s="9" t="s">
        <v>9</v>
      </c>
      <c r="Q62" s="10" t="s">
        <v>1</v>
      </c>
      <c r="T62" s="21" t="s">
        <v>11</v>
      </c>
      <c r="U62" s="17" t="s">
        <v>217</v>
      </c>
      <c r="V62" s="22" t="s">
        <v>224</v>
      </c>
      <c r="W62" s="23" t="s">
        <v>243</v>
      </c>
      <c r="X62" s="22" t="s">
        <v>140</v>
      </c>
      <c r="Y62" s="22" t="s">
        <v>35</v>
      </c>
      <c r="Z62" s="53" t="s">
        <v>248</v>
      </c>
    </row>
    <row r="63" spans="2:28" ht="19.5" customHeight="1" x14ac:dyDescent="0.4">
      <c r="B63" s="366" t="s">
        <v>23</v>
      </c>
      <c r="C63" s="367"/>
      <c r="D63" s="367"/>
      <c r="E63" s="367"/>
      <c r="F63" s="367"/>
      <c r="G63" s="367"/>
      <c r="H63" s="368"/>
      <c r="K63" s="305" t="s">
        <v>11</v>
      </c>
      <c r="L63" s="316" t="s">
        <v>449</v>
      </c>
      <c r="M63" s="305" t="s">
        <v>450</v>
      </c>
      <c r="N63" s="18" t="s">
        <v>444</v>
      </c>
      <c r="O63" s="18" t="s">
        <v>15</v>
      </c>
      <c r="P63" s="310" t="s">
        <v>285</v>
      </c>
      <c r="Q63" s="27" t="s">
        <v>248</v>
      </c>
      <c r="T63" s="21" t="s">
        <v>11</v>
      </c>
      <c r="U63" s="68" t="s">
        <v>162</v>
      </c>
      <c r="V63" s="22" t="s">
        <v>163</v>
      </c>
      <c r="W63" s="19" t="s">
        <v>234</v>
      </c>
      <c r="X63" s="22" t="s">
        <v>140</v>
      </c>
      <c r="Y63" s="22" t="s">
        <v>35</v>
      </c>
      <c r="Z63" s="65" t="s">
        <v>248</v>
      </c>
    </row>
    <row r="64" spans="2:28" ht="19.5" customHeight="1" x14ac:dyDescent="0.4">
      <c r="B64" s="300" t="s">
        <v>7</v>
      </c>
      <c r="C64" s="301" t="s">
        <v>6</v>
      </c>
      <c r="D64" s="301" t="s">
        <v>5</v>
      </c>
      <c r="E64" s="301" t="s">
        <v>4</v>
      </c>
      <c r="F64" s="301" t="s">
        <v>3</v>
      </c>
      <c r="G64" s="301" t="s">
        <v>9</v>
      </c>
      <c r="H64" s="302" t="s">
        <v>1</v>
      </c>
      <c r="K64" s="305" t="s">
        <v>11</v>
      </c>
      <c r="L64" s="316" t="s">
        <v>446</v>
      </c>
      <c r="M64" s="305" t="s">
        <v>447</v>
      </c>
      <c r="N64" s="18" t="s">
        <v>448</v>
      </c>
      <c r="O64" s="18" t="s">
        <v>15</v>
      </c>
      <c r="P64" s="310" t="s">
        <v>393</v>
      </c>
      <c r="Q64" s="27" t="s">
        <v>269</v>
      </c>
      <c r="T64" s="285" t="s">
        <v>11</v>
      </c>
      <c r="U64" s="320" t="s">
        <v>400</v>
      </c>
      <c r="V64" s="288" t="s">
        <v>401</v>
      </c>
      <c r="W64" s="286" t="s">
        <v>233</v>
      </c>
      <c r="X64" s="22" t="s">
        <v>140</v>
      </c>
      <c r="Y64" s="159" t="s">
        <v>402</v>
      </c>
      <c r="Z64" s="287" t="s">
        <v>269</v>
      </c>
    </row>
    <row r="65" spans="2:26" ht="19.5" customHeight="1" thickBot="1" x14ac:dyDescent="0.45">
      <c r="B65" s="303" t="s">
        <v>11</v>
      </c>
      <c r="C65" s="316" t="s">
        <v>463</v>
      </c>
      <c r="D65" s="303" t="s">
        <v>464</v>
      </c>
      <c r="E65" s="304" t="s">
        <v>465</v>
      </c>
      <c r="F65" s="22" t="s">
        <v>20</v>
      </c>
      <c r="G65" s="228" t="s">
        <v>368</v>
      </c>
      <c r="H65" s="48" t="s">
        <v>277</v>
      </c>
      <c r="K65" s="305" t="s">
        <v>11</v>
      </c>
      <c r="L65" s="316" t="s">
        <v>442</v>
      </c>
      <c r="M65" s="305" t="s">
        <v>443</v>
      </c>
      <c r="N65" s="18" t="s">
        <v>444</v>
      </c>
      <c r="O65" s="18" t="s">
        <v>15</v>
      </c>
      <c r="P65" s="290" t="s">
        <v>409</v>
      </c>
      <c r="Q65" s="27" t="s">
        <v>269</v>
      </c>
      <c r="T65" s="146"/>
      <c r="U65" s="147"/>
      <c r="V65" s="148"/>
      <c r="W65" s="149"/>
      <c r="X65" s="39"/>
      <c r="Y65" s="148"/>
      <c r="Z65" s="98"/>
    </row>
    <row r="66" spans="2:26" ht="19.5" customHeight="1" thickBot="1" x14ac:dyDescent="0.45">
      <c r="B66" s="305" t="s">
        <v>11</v>
      </c>
      <c r="C66" s="316" t="s">
        <v>466</v>
      </c>
      <c r="D66" s="303" t="s">
        <v>467</v>
      </c>
      <c r="E66" s="96"/>
      <c r="F66" s="22" t="s">
        <v>20</v>
      </c>
      <c r="G66" s="228" t="s">
        <v>368</v>
      </c>
      <c r="H66" s="48" t="s">
        <v>277</v>
      </c>
      <c r="K66" s="52" t="s">
        <v>11</v>
      </c>
      <c r="L66" s="282" t="s">
        <v>195</v>
      </c>
      <c r="M66" s="52" t="s">
        <v>129</v>
      </c>
      <c r="N66" s="22" t="s">
        <v>173</v>
      </c>
      <c r="O66" s="18" t="s">
        <v>15</v>
      </c>
      <c r="P66" s="290" t="s">
        <v>409</v>
      </c>
      <c r="Q66" s="48" t="s">
        <v>248</v>
      </c>
      <c r="T66" s="100"/>
      <c r="U66" s="101" t="s">
        <v>25</v>
      </c>
      <c r="V66" s="102">
        <f>COUNTIF(X59:X65,"Навч.")</f>
        <v>6</v>
      </c>
      <c r="W66" s="101" t="s">
        <v>24</v>
      </c>
      <c r="X66" s="102">
        <f>COUNTIF(X59:X65,"Відряд.")</f>
        <v>0</v>
      </c>
      <c r="Y66" s="103" t="s">
        <v>13</v>
      </c>
      <c r="Z66" s="46">
        <f>X66+V66</f>
        <v>6</v>
      </c>
    </row>
    <row r="67" spans="2:26" ht="19.5" customHeight="1" thickBot="1" x14ac:dyDescent="0.45">
      <c r="B67" s="119" t="s">
        <v>11</v>
      </c>
      <c r="C67" s="317" t="s">
        <v>331</v>
      </c>
      <c r="D67" s="121" t="s">
        <v>332</v>
      </c>
      <c r="E67" s="23"/>
      <c r="F67" s="22" t="s">
        <v>20</v>
      </c>
      <c r="G67" s="228" t="s">
        <v>368</v>
      </c>
      <c r="H67" s="48" t="s">
        <v>277</v>
      </c>
      <c r="K67" s="18" t="s">
        <v>11</v>
      </c>
      <c r="L67" s="229" t="s">
        <v>39</v>
      </c>
      <c r="M67" s="18" t="s">
        <v>141</v>
      </c>
      <c r="N67" s="19" t="s">
        <v>38</v>
      </c>
      <c r="O67" s="18" t="s">
        <v>15</v>
      </c>
      <c r="P67" s="310" t="s">
        <v>389</v>
      </c>
      <c r="Q67" s="97" t="s">
        <v>248</v>
      </c>
    </row>
    <row r="68" spans="2:26" ht="19.5" customHeight="1" x14ac:dyDescent="0.4">
      <c r="B68" s="303" t="s">
        <v>11</v>
      </c>
      <c r="C68" s="316" t="s">
        <v>475</v>
      </c>
      <c r="D68" s="303" t="s">
        <v>476</v>
      </c>
      <c r="E68" s="72"/>
      <c r="F68" s="22" t="s">
        <v>20</v>
      </c>
      <c r="G68" s="228" t="s">
        <v>338</v>
      </c>
      <c r="H68" s="48" t="s">
        <v>269</v>
      </c>
      <c r="K68" s="309" t="s">
        <v>11</v>
      </c>
      <c r="L68" s="316" t="s">
        <v>434</v>
      </c>
      <c r="M68" s="305" t="s">
        <v>435</v>
      </c>
      <c r="N68" s="19" t="s">
        <v>233</v>
      </c>
      <c r="O68" s="18" t="s">
        <v>15</v>
      </c>
      <c r="P68" s="290" t="s">
        <v>409</v>
      </c>
      <c r="Q68" s="97" t="s">
        <v>269</v>
      </c>
      <c r="T68" s="330" t="s">
        <v>10</v>
      </c>
      <c r="U68" s="331"/>
      <c r="V68" s="331"/>
      <c r="W68" s="331"/>
      <c r="X68" s="331"/>
      <c r="Y68" s="331"/>
      <c r="Z68" s="332"/>
    </row>
    <row r="69" spans="2:26" ht="19.5" customHeight="1" thickBot="1" x14ac:dyDescent="0.45">
      <c r="B69" s="303" t="s">
        <v>11</v>
      </c>
      <c r="C69" s="316" t="s">
        <v>483</v>
      </c>
      <c r="D69" s="303" t="s">
        <v>484</v>
      </c>
      <c r="E69" s="72"/>
      <c r="F69" s="22" t="s">
        <v>20</v>
      </c>
      <c r="G69" s="228" t="s">
        <v>390</v>
      </c>
      <c r="H69" s="48" t="s">
        <v>269</v>
      </c>
      <c r="K69" s="18" t="s">
        <v>115</v>
      </c>
      <c r="L69" s="229" t="s">
        <v>177</v>
      </c>
      <c r="M69" s="18" t="s">
        <v>117</v>
      </c>
      <c r="N69" s="18" t="s">
        <v>169</v>
      </c>
      <c r="O69" s="18" t="s">
        <v>176</v>
      </c>
      <c r="P69" s="228" t="s">
        <v>368</v>
      </c>
      <c r="Q69" s="97" t="s">
        <v>207</v>
      </c>
      <c r="T69" s="110" t="s">
        <v>7</v>
      </c>
      <c r="U69" s="111" t="s">
        <v>6</v>
      </c>
      <c r="V69" s="111" t="s">
        <v>5</v>
      </c>
      <c r="W69" s="111" t="s">
        <v>4</v>
      </c>
      <c r="X69" s="111" t="s">
        <v>3</v>
      </c>
      <c r="Y69" s="111" t="s">
        <v>9</v>
      </c>
      <c r="Z69" s="112" t="s">
        <v>1</v>
      </c>
    </row>
    <row r="70" spans="2:26" ht="19.5" customHeight="1" x14ac:dyDescent="0.4">
      <c r="B70" s="119"/>
      <c r="C70" s="120"/>
      <c r="D70" s="121"/>
      <c r="E70" s="72"/>
      <c r="F70" s="22"/>
      <c r="G70" s="14"/>
      <c r="H70" s="48"/>
      <c r="K70" s="85" t="s">
        <v>11</v>
      </c>
      <c r="L70" s="225" t="s">
        <v>180</v>
      </c>
      <c r="M70" s="141" t="s">
        <v>120</v>
      </c>
      <c r="N70" s="18" t="s">
        <v>169</v>
      </c>
      <c r="O70" s="18" t="s">
        <v>176</v>
      </c>
      <c r="P70" s="228" t="s">
        <v>368</v>
      </c>
      <c r="Q70" s="97" t="s">
        <v>207</v>
      </c>
      <c r="T70" s="326"/>
      <c r="U70" s="327"/>
      <c r="V70" s="327"/>
      <c r="W70" s="327"/>
      <c r="X70" s="327"/>
      <c r="Y70" s="327"/>
      <c r="Z70" s="328"/>
    </row>
    <row r="71" spans="2:26" ht="19.5" customHeight="1" thickBot="1" x14ac:dyDescent="0.45">
      <c r="B71" s="176"/>
      <c r="C71" s="177"/>
      <c r="D71" s="178"/>
      <c r="E71" s="177"/>
      <c r="F71" s="177"/>
      <c r="G71" s="177" t="s">
        <v>0</v>
      </c>
      <c r="H71" s="46">
        <f>COUNTA(C65:C70)</f>
        <v>5</v>
      </c>
      <c r="K71" s="85" t="s">
        <v>11</v>
      </c>
      <c r="L71" s="225" t="s">
        <v>208</v>
      </c>
      <c r="M71" s="141" t="s">
        <v>122</v>
      </c>
      <c r="N71" s="18" t="s">
        <v>169</v>
      </c>
      <c r="O71" s="18" t="s">
        <v>176</v>
      </c>
      <c r="P71" s="228" t="s">
        <v>368</v>
      </c>
      <c r="Q71" s="97" t="s">
        <v>207</v>
      </c>
      <c r="T71" s="126"/>
      <c r="U71" s="156"/>
      <c r="V71" s="157"/>
      <c r="W71" s="158"/>
      <c r="X71" s="159"/>
      <c r="Y71" s="159"/>
      <c r="Z71" s="160"/>
    </row>
    <row r="72" spans="2:26" ht="19.5" customHeight="1" thickBot="1" x14ac:dyDescent="0.45">
      <c r="K72" s="85" t="s">
        <v>116</v>
      </c>
      <c r="L72" s="282" t="s">
        <v>209</v>
      </c>
      <c r="M72" s="85" t="s">
        <v>123</v>
      </c>
      <c r="N72" s="18" t="s">
        <v>169</v>
      </c>
      <c r="O72" s="18" t="s">
        <v>176</v>
      </c>
      <c r="P72" s="228" t="s">
        <v>368</v>
      </c>
      <c r="Q72" s="97" t="s">
        <v>207</v>
      </c>
      <c r="T72" s="161" t="s">
        <v>0</v>
      </c>
      <c r="U72" s="162"/>
      <c r="V72" s="162"/>
      <c r="W72" s="162"/>
      <c r="X72" s="162"/>
      <c r="Y72" s="163"/>
      <c r="Z72" s="145">
        <f>COUNTA(X71:X71)</f>
        <v>0</v>
      </c>
    </row>
    <row r="73" spans="2:26" ht="19.5" customHeight="1" x14ac:dyDescent="0.4">
      <c r="B73" s="330" t="s">
        <v>8</v>
      </c>
      <c r="C73" s="331"/>
      <c r="D73" s="331"/>
      <c r="E73" s="331"/>
      <c r="F73" s="331"/>
      <c r="G73" s="331"/>
      <c r="H73" s="332"/>
      <c r="K73" s="18" t="s">
        <v>11</v>
      </c>
      <c r="L73" s="229" t="s">
        <v>110</v>
      </c>
      <c r="M73" s="18" t="s">
        <v>109</v>
      </c>
      <c r="N73" s="19" t="s">
        <v>108</v>
      </c>
      <c r="O73" s="18" t="s">
        <v>176</v>
      </c>
      <c r="P73" s="310" t="s">
        <v>389</v>
      </c>
      <c r="Q73" s="27" t="s">
        <v>114</v>
      </c>
      <c r="U73" s="1"/>
      <c r="Z73" s="1"/>
    </row>
    <row r="74" spans="2:26" ht="19.5" customHeight="1" thickBot="1" x14ac:dyDescent="0.45">
      <c r="B74" s="110" t="s">
        <v>7</v>
      </c>
      <c r="C74" s="111" t="s">
        <v>6</v>
      </c>
      <c r="D74" s="111" t="s">
        <v>5</v>
      </c>
      <c r="E74" s="111" t="s">
        <v>4</v>
      </c>
      <c r="F74" s="111" t="s">
        <v>3</v>
      </c>
      <c r="G74" s="111" t="s">
        <v>2</v>
      </c>
      <c r="H74" s="112" t="s">
        <v>1</v>
      </c>
      <c r="K74" s="101"/>
      <c r="L74" s="101" t="s">
        <v>14</v>
      </c>
      <c r="M74" s="102">
        <f>COUNTIF(O63:O73,"Приком.")</f>
        <v>5</v>
      </c>
      <c r="N74" s="153" t="s">
        <v>73</v>
      </c>
      <c r="O74" s="102">
        <f>COUNTIF(O63:O73,"Відком.")</f>
        <v>6</v>
      </c>
      <c r="P74" s="103" t="s">
        <v>13</v>
      </c>
      <c r="Q74" s="46">
        <f>O74+M74</f>
        <v>11</v>
      </c>
      <c r="U74" s="1"/>
      <c r="Z74" s="1"/>
    </row>
    <row r="75" spans="2:26" ht="19.5" customHeight="1" thickBot="1" x14ac:dyDescent="0.45">
      <c r="B75" s="84" t="s">
        <v>11</v>
      </c>
      <c r="C75" s="225" t="s">
        <v>179</v>
      </c>
      <c r="D75" s="141" t="s">
        <v>119</v>
      </c>
      <c r="E75" s="26" t="s">
        <v>159</v>
      </c>
      <c r="F75" s="246" t="s">
        <v>71</v>
      </c>
      <c r="G75" s="284">
        <v>45953</v>
      </c>
      <c r="H75" s="65" t="s">
        <v>248</v>
      </c>
      <c r="U75" s="1"/>
      <c r="Z75" s="1"/>
    </row>
    <row r="76" spans="2:26" ht="19.5" customHeight="1" x14ac:dyDescent="0.4">
      <c r="B76" s="85" t="s">
        <v>11</v>
      </c>
      <c r="C76" s="254" t="s">
        <v>321</v>
      </c>
      <c r="D76" s="41" t="s">
        <v>133</v>
      </c>
      <c r="E76" s="221" t="s">
        <v>243</v>
      </c>
      <c r="F76" s="179" t="s">
        <v>178</v>
      </c>
      <c r="G76" s="292" t="s">
        <v>336</v>
      </c>
      <c r="H76" s="48" t="s">
        <v>269</v>
      </c>
      <c r="K76" s="330" t="s">
        <v>12</v>
      </c>
      <c r="L76" s="331"/>
      <c r="M76" s="331"/>
      <c r="N76" s="331"/>
      <c r="O76" s="331"/>
      <c r="P76" s="331"/>
      <c r="Q76" s="332"/>
      <c r="U76" s="1"/>
      <c r="Z76" s="1"/>
    </row>
    <row r="77" spans="2:26" ht="19.5" customHeight="1" x14ac:dyDescent="0.4">
      <c r="B77" s="21" t="s">
        <v>11</v>
      </c>
      <c r="C77" s="229" t="s">
        <v>41</v>
      </c>
      <c r="D77" s="22" t="s">
        <v>151</v>
      </c>
      <c r="E77" s="28" t="s">
        <v>231</v>
      </c>
      <c r="F77" s="22" t="s">
        <v>71</v>
      </c>
      <c r="G77" s="233">
        <v>45912</v>
      </c>
      <c r="H77" s="25" t="s">
        <v>248</v>
      </c>
      <c r="K77" s="8" t="s">
        <v>7</v>
      </c>
      <c r="L77" s="9" t="s">
        <v>6</v>
      </c>
      <c r="M77" s="9" t="s">
        <v>5</v>
      </c>
      <c r="N77" s="9" t="s">
        <v>4</v>
      </c>
      <c r="O77" s="9" t="s">
        <v>3</v>
      </c>
      <c r="P77" s="9" t="s">
        <v>9</v>
      </c>
      <c r="Q77" s="10" t="s">
        <v>1</v>
      </c>
      <c r="U77" s="1"/>
      <c r="Z77" s="1"/>
    </row>
    <row r="78" spans="2:26" ht="19.5" customHeight="1" x14ac:dyDescent="0.4">
      <c r="B78" s="51" t="s">
        <v>11</v>
      </c>
      <c r="C78" s="282" t="s">
        <v>203</v>
      </c>
      <c r="D78" s="52" t="s">
        <v>136</v>
      </c>
      <c r="E78" s="23" t="s">
        <v>233</v>
      </c>
      <c r="F78" s="179" t="s">
        <v>31</v>
      </c>
      <c r="G78" s="235" t="s">
        <v>247</v>
      </c>
      <c r="H78" s="53" t="s">
        <v>248</v>
      </c>
      <c r="K78" s="18" t="s">
        <v>11</v>
      </c>
      <c r="L78" s="229" t="s">
        <v>49</v>
      </c>
      <c r="M78" s="246" t="s">
        <v>145</v>
      </c>
      <c r="N78" s="18" t="s">
        <v>231</v>
      </c>
      <c r="O78" s="18">
        <v>500</v>
      </c>
      <c r="P78" s="237" t="s">
        <v>404</v>
      </c>
      <c r="Q78" s="27" t="s">
        <v>248</v>
      </c>
      <c r="U78" s="1"/>
      <c r="Z78" s="1"/>
    </row>
    <row r="79" spans="2:26" ht="19.5" customHeight="1" x14ac:dyDescent="0.4">
      <c r="B79" s="51" t="s">
        <v>11</v>
      </c>
      <c r="C79" s="282" t="s">
        <v>197</v>
      </c>
      <c r="D79" s="52" t="s">
        <v>131</v>
      </c>
      <c r="E79" s="23" t="s">
        <v>237</v>
      </c>
      <c r="F79" s="22" t="s">
        <v>71</v>
      </c>
      <c r="G79" s="236">
        <v>45914</v>
      </c>
      <c r="H79" s="53" t="s">
        <v>248</v>
      </c>
      <c r="K79" s="85" t="s">
        <v>11</v>
      </c>
      <c r="L79" s="225" t="s">
        <v>175</v>
      </c>
      <c r="M79" s="141" t="s">
        <v>118</v>
      </c>
      <c r="N79" s="164" t="s">
        <v>233</v>
      </c>
      <c r="O79" s="18">
        <v>500</v>
      </c>
      <c r="P79" s="239" t="s">
        <v>403</v>
      </c>
      <c r="Q79" s="97" t="s">
        <v>248</v>
      </c>
      <c r="U79" s="1"/>
      <c r="Z79" s="1"/>
    </row>
    <row r="80" spans="2:26" ht="19.5" customHeight="1" x14ac:dyDescent="0.4">
      <c r="B80" s="51" t="s">
        <v>11</v>
      </c>
      <c r="C80" s="282" t="s">
        <v>205</v>
      </c>
      <c r="D80" s="52" t="s">
        <v>137</v>
      </c>
      <c r="E80" s="23" t="s">
        <v>241</v>
      </c>
      <c r="F80" s="43" t="s">
        <v>71</v>
      </c>
      <c r="G80" s="234">
        <v>45922</v>
      </c>
      <c r="H80" s="53" t="s">
        <v>248</v>
      </c>
      <c r="K80" s="85" t="s">
        <v>11</v>
      </c>
      <c r="L80" s="282" t="s">
        <v>202</v>
      </c>
      <c r="M80" s="85" t="s">
        <v>135</v>
      </c>
      <c r="N80" s="18" t="s">
        <v>231</v>
      </c>
      <c r="O80" s="18">
        <v>500</v>
      </c>
      <c r="P80" s="239">
        <v>45875</v>
      </c>
      <c r="Q80" s="97" t="s">
        <v>248</v>
      </c>
      <c r="U80" s="1"/>
      <c r="Z80" s="1"/>
    </row>
    <row r="81" spans="2:26" ht="19.5" customHeight="1" x14ac:dyDescent="0.4">
      <c r="B81" s="21" t="s">
        <v>11</v>
      </c>
      <c r="C81" s="253" t="s">
        <v>103</v>
      </c>
      <c r="D81" s="80" t="s">
        <v>102</v>
      </c>
      <c r="E81" s="95"/>
      <c r="F81" s="43" t="s">
        <v>71</v>
      </c>
      <c r="G81" s="233">
        <v>45927</v>
      </c>
      <c r="H81" s="81" t="s">
        <v>91</v>
      </c>
      <c r="K81" s="52" t="s">
        <v>11</v>
      </c>
      <c r="L81" s="282" t="s">
        <v>196</v>
      </c>
      <c r="M81" s="52" t="s">
        <v>130</v>
      </c>
      <c r="N81" s="23" t="s">
        <v>233</v>
      </c>
      <c r="O81" s="22">
        <v>500</v>
      </c>
      <c r="P81" s="236">
        <v>45888</v>
      </c>
      <c r="Q81" s="48" t="s">
        <v>248</v>
      </c>
      <c r="U81" s="1"/>
      <c r="Z81" s="1"/>
    </row>
    <row r="82" spans="2:26" ht="19.5" customHeight="1" x14ac:dyDescent="0.4">
      <c r="B82" s="16" t="s">
        <v>206</v>
      </c>
      <c r="C82" s="229" t="s">
        <v>27</v>
      </c>
      <c r="D82" s="18" t="s">
        <v>144</v>
      </c>
      <c r="E82" s="26" t="s">
        <v>26</v>
      </c>
      <c r="F82" s="43" t="s">
        <v>71</v>
      </c>
      <c r="G82" s="238">
        <v>45946</v>
      </c>
      <c r="H82" s="65" t="s">
        <v>248</v>
      </c>
      <c r="K82" s="52" t="s">
        <v>11</v>
      </c>
      <c r="L82" s="225" t="s">
        <v>185</v>
      </c>
      <c r="M82" s="76" t="s">
        <v>170</v>
      </c>
      <c r="N82" s="28" t="s">
        <v>238</v>
      </c>
      <c r="O82" s="22">
        <v>500</v>
      </c>
      <c r="P82" s="236">
        <v>45888</v>
      </c>
      <c r="Q82" s="48" t="s">
        <v>248</v>
      </c>
      <c r="U82" s="1"/>
      <c r="Z82" s="1"/>
    </row>
    <row r="83" spans="2:26" ht="19.5" customHeight="1" x14ac:dyDescent="0.4">
      <c r="B83" s="85" t="s">
        <v>11</v>
      </c>
      <c r="C83" s="315" t="s">
        <v>310</v>
      </c>
      <c r="D83" s="52" t="s">
        <v>311</v>
      </c>
      <c r="E83" s="105" t="s">
        <v>241</v>
      </c>
      <c r="F83" s="218" t="s">
        <v>71</v>
      </c>
      <c r="G83" s="291">
        <v>45967</v>
      </c>
      <c r="H83" s="48" t="s">
        <v>269</v>
      </c>
      <c r="K83" s="52" t="s">
        <v>11</v>
      </c>
      <c r="L83" s="225" t="s">
        <v>186</v>
      </c>
      <c r="M83" s="76" t="s">
        <v>121</v>
      </c>
      <c r="N83" s="28" t="s">
        <v>241</v>
      </c>
      <c r="O83" s="22">
        <v>500</v>
      </c>
      <c r="P83" s="236">
        <v>45888</v>
      </c>
      <c r="Q83" s="48" t="s">
        <v>248</v>
      </c>
      <c r="U83" s="1"/>
      <c r="Z83" s="1"/>
    </row>
    <row r="84" spans="2:26" ht="19.5" customHeight="1" thickBot="1" x14ac:dyDescent="0.45">
      <c r="B84" s="21"/>
      <c r="C84" s="17"/>
      <c r="D84" s="22"/>
      <c r="E84" s="72"/>
      <c r="F84" s="22"/>
      <c r="G84" s="35"/>
      <c r="H84" s="25"/>
      <c r="K84" s="52" t="s">
        <v>116</v>
      </c>
      <c r="L84" s="282" t="s">
        <v>160</v>
      </c>
      <c r="M84" s="52" t="s">
        <v>161</v>
      </c>
      <c r="N84" s="23" t="s">
        <v>249</v>
      </c>
      <c r="O84" s="22">
        <v>500</v>
      </c>
      <c r="P84" s="233">
        <v>45910</v>
      </c>
      <c r="Q84" s="48" t="s">
        <v>248</v>
      </c>
      <c r="U84" s="1"/>
      <c r="Z84" s="1"/>
    </row>
    <row r="85" spans="2:26" ht="19.5" customHeight="1" thickBot="1" x14ac:dyDescent="0.45">
      <c r="B85" s="142" t="s">
        <v>0</v>
      </c>
      <c r="C85" s="143"/>
      <c r="D85" s="143"/>
      <c r="E85" s="143"/>
      <c r="F85" s="143"/>
      <c r="G85" s="144"/>
      <c r="H85" s="145">
        <f>COUNTA(C75:C84)</f>
        <v>9</v>
      </c>
      <c r="K85" s="305" t="s">
        <v>11</v>
      </c>
      <c r="L85" s="316" t="s">
        <v>430</v>
      </c>
      <c r="M85" s="22" t="s">
        <v>431</v>
      </c>
      <c r="N85" s="23" t="s">
        <v>244</v>
      </c>
      <c r="O85" s="22">
        <v>500</v>
      </c>
      <c r="P85" s="241" t="s">
        <v>432</v>
      </c>
      <c r="Q85" s="48" t="s">
        <v>269</v>
      </c>
      <c r="U85" s="1"/>
      <c r="Z85" s="1"/>
    </row>
    <row r="86" spans="2:26" ht="19.5" customHeight="1" x14ac:dyDescent="0.4">
      <c r="K86" s="305" t="s">
        <v>11</v>
      </c>
      <c r="L86" s="316" t="s">
        <v>439</v>
      </c>
      <c r="M86" s="305" t="s">
        <v>440</v>
      </c>
      <c r="N86" s="23" t="s">
        <v>244</v>
      </c>
      <c r="O86" s="22">
        <v>500</v>
      </c>
      <c r="P86" s="228" t="s">
        <v>441</v>
      </c>
      <c r="Q86" s="48" t="s">
        <v>269</v>
      </c>
    </row>
    <row r="87" spans="2:26" ht="19.5" customHeight="1" x14ac:dyDescent="0.4">
      <c r="K87" s="119" t="s">
        <v>11</v>
      </c>
      <c r="L87" s="317" t="s">
        <v>333</v>
      </c>
      <c r="M87" s="121" t="s">
        <v>330</v>
      </c>
      <c r="N87" s="89" t="s">
        <v>244</v>
      </c>
      <c r="O87" s="22">
        <v>500</v>
      </c>
      <c r="P87" s="228" t="s">
        <v>424</v>
      </c>
      <c r="Q87" s="48" t="s">
        <v>277</v>
      </c>
    </row>
    <row r="88" spans="2:26" ht="19.5" customHeight="1" x14ac:dyDescent="0.4">
      <c r="K88" s="305" t="s">
        <v>11</v>
      </c>
      <c r="L88" s="316" t="s">
        <v>436</v>
      </c>
      <c r="M88" s="305" t="s">
        <v>437</v>
      </c>
      <c r="N88" s="89" t="s">
        <v>233</v>
      </c>
      <c r="O88" s="22">
        <v>500</v>
      </c>
      <c r="P88" s="228" t="s">
        <v>438</v>
      </c>
      <c r="Q88" s="48" t="s">
        <v>269</v>
      </c>
    </row>
    <row r="89" spans="2:26" ht="19.5" customHeight="1" x14ac:dyDescent="0.4">
      <c r="K89" s="305" t="s">
        <v>11</v>
      </c>
      <c r="L89" s="316" t="s">
        <v>451</v>
      </c>
      <c r="M89" s="305" t="s">
        <v>452</v>
      </c>
      <c r="N89" s="89" t="s">
        <v>453</v>
      </c>
      <c r="O89" s="22">
        <v>500</v>
      </c>
      <c r="P89" s="228" t="s">
        <v>454</v>
      </c>
      <c r="Q89" s="48" t="s">
        <v>269</v>
      </c>
    </row>
    <row r="90" spans="2:26" ht="19.5" customHeight="1" x14ac:dyDescent="0.4">
      <c r="K90" s="85" t="s">
        <v>11</v>
      </c>
      <c r="L90" s="315" t="s">
        <v>296</v>
      </c>
      <c r="M90" s="52" t="s">
        <v>297</v>
      </c>
      <c r="N90" s="23" t="s">
        <v>327</v>
      </c>
      <c r="O90" s="22">
        <v>500</v>
      </c>
      <c r="P90" s="241" t="s">
        <v>394</v>
      </c>
      <c r="Q90" s="48" t="s">
        <v>269</v>
      </c>
    </row>
    <row r="91" spans="2:26" ht="19.5" customHeight="1" x14ac:dyDescent="0.4">
      <c r="K91" s="18" t="s">
        <v>11</v>
      </c>
      <c r="L91" s="229" t="s">
        <v>52</v>
      </c>
      <c r="M91" s="18" t="s">
        <v>51</v>
      </c>
      <c r="N91" s="18" t="s">
        <v>243</v>
      </c>
      <c r="O91" s="22">
        <v>500</v>
      </c>
      <c r="P91" s="241" t="s">
        <v>420</v>
      </c>
      <c r="Q91" s="27" t="s">
        <v>248</v>
      </c>
      <c r="U91" s="1"/>
      <c r="Z91" s="1"/>
    </row>
    <row r="92" spans="2:26" ht="19.5" customHeight="1" x14ac:dyDescent="0.4">
      <c r="K92" s="85" t="s">
        <v>11</v>
      </c>
      <c r="L92" s="317" t="s">
        <v>346</v>
      </c>
      <c r="M92" s="121" t="s">
        <v>347</v>
      </c>
      <c r="N92" s="23" t="s">
        <v>348</v>
      </c>
      <c r="O92" s="22">
        <v>500</v>
      </c>
      <c r="P92" s="241">
        <v>45955</v>
      </c>
      <c r="Q92" s="48" t="s">
        <v>269</v>
      </c>
      <c r="U92" s="1"/>
      <c r="Z92" s="1"/>
    </row>
    <row r="93" spans="2:26" ht="19.5" customHeight="1" x14ac:dyDescent="0.4">
      <c r="K93" s="79" t="s">
        <v>11</v>
      </c>
      <c r="L93" s="256" t="s">
        <v>270</v>
      </c>
      <c r="M93" s="22" t="s">
        <v>357</v>
      </c>
      <c r="N93" s="23" t="s">
        <v>280</v>
      </c>
      <c r="O93" s="22">
        <v>500</v>
      </c>
      <c r="P93" s="251" t="s">
        <v>396</v>
      </c>
      <c r="Q93" s="48" t="s">
        <v>269</v>
      </c>
      <c r="U93" s="1"/>
      <c r="Z93" s="1"/>
    </row>
    <row r="94" spans="2:26" ht="19.5" customHeight="1" x14ac:dyDescent="0.4">
      <c r="K94" s="52" t="s">
        <v>343</v>
      </c>
      <c r="L94" s="225" t="s">
        <v>193</v>
      </c>
      <c r="M94" s="76" t="s">
        <v>127</v>
      </c>
      <c r="N94" s="28" t="s">
        <v>229</v>
      </c>
      <c r="O94" s="22">
        <v>500</v>
      </c>
      <c r="P94" s="241">
        <v>45957</v>
      </c>
      <c r="Q94" s="48" t="s">
        <v>248</v>
      </c>
      <c r="U94" s="1"/>
      <c r="Z94" s="1"/>
    </row>
    <row r="95" spans="2:26" ht="19.5" customHeight="1" x14ac:dyDescent="0.4">
      <c r="K95" s="85" t="s">
        <v>11</v>
      </c>
      <c r="L95" s="315" t="s">
        <v>300</v>
      </c>
      <c r="M95" s="52" t="s">
        <v>301</v>
      </c>
      <c r="N95" s="23" t="s">
        <v>240</v>
      </c>
      <c r="O95" s="22">
        <v>500</v>
      </c>
      <c r="P95" s="14" t="s">
        <v>408</v>
      </c>
      <c r="Q95" s="48" t="s">
        <v>269</v>
      </c>
      <c r="U95" s="1"/>
      <c r="Z95" s="1"/>
    </row>
    <row r="96" spans="2:26" ht="19.5" customHeight="1" x14ac:dyDescent="0.4">
      <c r="K96" s="246" t="s">
        <v>11</v>
      </c>
      <c r="L96" s="229" t="s">
        <v>50</v>
      </c>
      <c r="M96" s="246" t="s">
        <v>227</v>
      </c>
      <c r="N96" s="246" t="s">
        <v>244</v>
      </c>
      <c r="O96" s="246">
        <v>500</v>
      </c>
      <c r="P96" s="228" t="s">
        <v>369</v>
      </c>
      <c r="Q96" s="222" t="s">
        <v>248</v>
      </c>
      <c r="U96" s="1"/>
      <c r="Z96" s="1"/>
    </row>
    <row r="97" spans="11:26" ht="19.5" customHeight="1" x14ac:dyDescent="0.4">
      <c r="K97" s="85" t="s">
        <v>11</v>
      </c>
      <c r="L97" s="315" t="s">
        <v>304</v>
      </c>
      <c r="M97" s="52" t="s">
        <v>305</v>
      </c>
      <c r="N97" s="23" t="s">
        <v>328</v>
      </c>
      <c r="O97" s="22">
        <v>500</v>
      </c>
      <c r="P97" s="228" t="s">
        <v>369</v>
      </c>
      <c r="Q97" s="48" t="s">
        <v>269</v>
      </c>
      <c r="U97" s="1"/>
      <c r="Z97" s="1"/>
    </row>
    <row r="98" spans="11:26" ht="19.5" customHeight="1" x14ac:dyDescent="0.4">
      <c r="K98" s="85" t="s">
        <v>11</v>
      </c>
      <c r="L98" s="315" t="s">
        <v>306</v>
      </c>
      <c r="M98" s="52" t="s">
        <v>307</v>
      </c>
      <c r="N98" s="23" t="s">
        <v>231</v>
      </c>
      <c r="O98" s="22">
        <v>500</v>
      </c>
      <c r="P98" s="14" t="s">
        <v>410</v>
      </c>
      <c r="Q98" s="48" t="s">
        <v>269</v>
      </c>
      <c r="U98" s="1"/>
      <c r="Z98" s="1"/>
    </row>
    <row r="99" spans="11:26" ht="19.5" customHeight="1" x14ac:dyDescent="0.4">
      <c r="K99" s="52" t="s">
        <v>11</v>
      </c>
      <c r="L99" s="229" t="s">
        <v>259</v>
      </c>
      <c r="M99" s="22" t="s">
        <v>220</v>
      </c>
      <c r="N99" s="245" t="s">
        <v>261</v>
      </c>
      <c r="O99" s="246">
        <v>500</v>
      </c>
      <c r="P99" s="228" t="s">
        <v>370</v>
      </c>
      <c r="Q99" s="48" t="s">
        <v>248</v>
      </c>
      <c r="U99" s="1"/>
      <c r="Z99" s="1"/>
    </row>
    <row r="100" spans="11:26" ht="19.5" customHeight="1" x14ac:dyDescent="0.4">
      <c r="K100" s="255" t="s">
        <v>11</v>
      </c>
      <c r="L100" s="256" t="s">
        <v>271</v>
      </c>
      <c r="M100" s="255" t="s">
        <v>272</v>
      </c>
      <c r="N100" s="245" t="s">
        <v>240</v>
      </c>
      <c r="O100" s="246">
        <v>500</v>
      </c>
      <c r="P100" s="228" t="s">
        <v>369</v>
      </c>
      <c r="Q100" s="248" t="s">
        <v>269</v>
      </c>
      <c r="U100" s="1"/>
      <c r="Z100" s="1"/>
    </row>
    <row r="101" spans="11:26" ht="19.5" customHeight="1" x14ac:dyDescent="0.4">
      <c r="K101" s="311" t="s">
        <v>340</v>
      </c>
      <c r="L101" s="322" t="s">
        <v>341</v>
      </c>
      <c r="M101" s="311" t="s">
        <v>342</v>
      </c>
      <c r="N101" s="312"/>
      <c r="O101" s="246">
        <v>500</v>
      </c>
      <c r="P101" s="228" t="s">
        <v>489</v>
      </c>
      <c r="Q101" s="48" t="s">
        <v>269</v>
      </c>
      <c r="U101" s="1"/>
      <c r="Z101" s="1"/>
    </row>
    <row r="102" spans="11:26" ht="19.5" customHeight="1" x14ac:dyDescent="0.4">
      <c r="K102" s="85" t="s">
        <v>11</v>
      </c>
      <c r="L102" s="315" t="s">
        <v>288</v>
      </c>
      <c r="M102" s="52" t="s">
        <v>289</v>
      </c>
      <c r="N102" s="23" t="s">
        <v>240</v>
      </c>
      <c r="O102" s="246">
        <v>500</v>
      </c>
      <c r="P102" s="228" t="s">
        <v>388</v>
      </c>
      <c r="Q102" s="48" t="s">
        <v>269</v>
      </c>
      <c r="U102" s="1"/>
      <c r="Z102" s="1"/>
    </row>
    <row r="103" spans="11:26" ht="19.5" customHeight="1" x14ac:dyDescent="0.4">
      <c r="K103" s="303" t="s">
        <v>11</v>
      </c>
      <c r="L103" s="316" t="s">
        <v>480</v>
      </c>
      <c r="M103" s="303" t="s">
        <v>437</v>
      </c>
      <c r="N103" s="278"/>
      <c r="O103" s="246">
        <v>500</v>
      </c>
      <c r="P103" s="228" t="s">
        <v>490</v>
      </c>
      <c r="Q103" s="48" t="s">
        <v>269</v>
      </c>
      <c r="U103" s="1"/>
      <c r="Z103" s="1"/>
    </row>
    <row r="104" spans="11:26" ht="19.5" customHeight="1" x14ac:dyDescent="0.4">
      <c r="K104" s="85" t="s">
        <v>11</v>
      </c>
      <c r="L104" s="315" t="s">
        <v>292</v>
      </c>
      <c r="M104" s="52" t="s">
        <v>293</v>
      </c>
      <c r="N104" s="23" t="s">
        <v>240</v>
      </c>
      <c r="O104" s="246">
        <v>500</v>
      </c>
      <c r="P104" s="228" t="s">
        <v>395</v>
      </c>
      <c r="Q104" s="48" t="s">
        <v>269</v>
      </c>
      <c r="U104" s="1"/>
      <c r="Z104" s="1"/>
    </row>
    <row r="105" spans="11:26" ht="19.5" customHeight="1" x14ac:dyDescent="0.4">
      <c r="K105" s="166" t="s">
        <v>11</v>
      </c>
      <c r="L105" s="315" t="s">
        <v>312</v>
      </c>
      <c r="M105" s="52" t="s">
        <v>313</v>
      </c>
      <c r="N105" s="23" t="s">
        <v>241</v>
      </c>
      <c r="O105" s="22">
        <v>500</v>
      </c>
      <c r="P105" s="241" t="s">
        <v>419</v>
      </c>
      <c r="Q105" s="48" t="s">
        <v>269</v>
      </c>
      <c r="U105" s="1"/>
      <c r="Z105" s="1"/>
    </row>
    <row r="106" spans="11:26" ht="19.5" customHeight="1" thickBot="1" x14ac:dyDescent="0.45">
      <c r="K106" s="293" t="s">
        <v>0</v>
      </c>
      <c r="L106" s="294"/>
      <c r="M106" s="294"/>
      <c r="N106" s="294"/>
      <c r="O106" s="294"/>
      <c r="P106" s="295"/>
      <c r="Q106" s="46">
        <f>COUNTA(L78:L105)</f>
        <v>28</v>
      </c>
      <c r="U106" s="1"/>
      <c r="Z106" s="1"/>
    </row>
    <row r="107" spans="11:26" ht="19.5" customHeight="1" x14ac:dyDescent="0.4">
      <c r="K107" s="171"/>
      <c r="L107" s="172"/>
      <c r="M107" s="171"/>
      <c r="N107" s="173"/>
      <c r="O107" s="171"/>
      <c r="P107" s="174"/>
      <c r="Q107" s="175"/>
      <c r="U107" s="1"/>
      <c r="Z107" s="1"/>
    </row>
    <row r="108" spans="11:26" ht="19.5" customHeight="1" x14ac:dyDescent="0.4">
      <c r="U108" s="1"/>
      <c r="Z108" s="1"/>
    </row>
    <row r="109" spans="11:26" ht="19.5" customHeight="1" x14ac:dyDescent="0.4">
      <c r="U109" s="1"/>
      <c r="Z109" s="1"/>
    </row>
    <row r="110" spans="11:26" ht="19.5" customHeight="1" x14ac:dyDescent="0.4">
      <c r="U110" s="1"/>
      <c r="Z110" s="1"/>
    </row>
    <row r="111" spans="11:26" ht="19.5" customHeight="1" x14ac:dyDescent="0.4">
      <c r="U111" s="1"/>
      <c r="Z111" s="1"/>
    </row>
    <row r="112" spans="11:26" ht="19.5" customHeight="1" x14ac:dyDescent="0.4">
      <c r="U112" s="1"/>
      <c r="Z112" s="1"/>
    </row>
    <row r="113" spans="2:26" ht="19.5" customHeight="1" x14ac:dyDescent="0.4">
      <c r="U113" s="1"/>
      <c r="Z113" s="1"/>
    </row>
    <row r="114" spans="2:26" ht="19.5" customHeight="1" x14ac:dyDescent="0.4">
      <c r="U114" s="1"/>
      <c r="Z114" s="1"/>
    </row>
    <row r="115" spans="2:26" ht="19.5" customHeight="1" x14ac:dyDescent="0.4">
      <c r="U115" s="1"/>
      <c r="Z115" s="1"/>
    </row>
    <row r="116" spans="2:26" ht="19.5" customHeight="1" x14ac:dyDescent="0.4">
      <c r="B116" s="171"/>
      <c r="C116" s="172"/>
      <c r="D116" s="171"/>
      <c r="E116" s="173"/>
      <c r="F116" s="171"/>
      <c r="G116" s="174"/>
      <c r="H116" s="175"/>
      <c r="U116" s="1"/>
      <c r="Z116" s="1"/>
    </row>
    <row r="117" spans="2:26" ht="19.5" customHeight="1" x14ac:dyDescent="0.4">
      <c r="B117" s="171"/>
      <c r="C117" s="172"/>
      <c r="D117" s="171"/>
      <c r="E117" s="180"/>
      <c r="F117" s="171"/>
      <c r="G117" s="174"/>
      <c r="H117" s="175"/>
      <c r="U117" s="1"/>
      <c r="Z117" s="1"/>
    </row>
    <row r="118" spans="2:26" ht="19.5" customHeight="1" x14ac:dyDescent="0.4">
      <c r="U118" s="1"/>
      <c r="Z118" s="1"/>
    </row>
    <row r="119" spans="2:26" ht="19.5" customHeight="1" x14ac:dyDescent="0.4">
      <c r="U119" s="1"/>
      <c r="Z119" s="1"/>
    </row>
    <row r="120" spans="2:26" ht="19.5" customHeight="1" x14ac:dyDescent="0.4">
      <c r="U120" s="1"/>
      <c r="Z120" s="1"/>
    </row>
    <row r="121" spans="2:26" ht="19.5" customHeight="1" x14ac:dyDescent="0.4">
      <c r="U121" s="1"/>
      <c r="Z121" s="1"/>
    </row>
    <row r="122" spans="2:26" ht="19.5" customHeight="1" x14ac:dyDescent="0.4">
      <c r="U122" s="1"/>
      <c r="Z122" s="1"/>
    </row>
    <row r="123" spans="2:26" ht="19.5" customHeight="1" x14ac:dyDescent="0.4">
      <c r="U123" s="1"/>
      <c r="Z123" s="1"/>
    </row>
    <row r="124" spans="2:26" ht="19.5" customHeight="1" x14ac:dyDescent="0.4">
      <c r="U124" s="1"/>
      <c r="Z124" s="1"/>
    </row>
    <row r="125" spans="2:26" ht="19.5" customHeight="1" x14ac:dyDescent="0.4">
      <c r="U125" s="1"/>
      <c r="Z125" s="1"/>
    </row>
    <row r="126" spans="2:26" ht="19.5" customHeight="1" x14ac:dyDescent="0.4">
      <c r="U126" s="1"/>
      <c r="Z126" s="1"/>
    </row>
    <row r="127" spans="2:26" ht="19.5" customHeight="1" x14ac:dyDescent="0.4">
      <c r="U127" s="1"/>
      <c r="Z127" s="1"/>
    </row>
    <row r="128" spans="2:26" ht="19.5" customHeight="1" x14ac:dyDescent="0.4">
      <c r="U128" s="1"/>
      <c r="Z128" s="1"/>
    </row>
    <row r="129" spans="21:26" ht="19.5" customHeight="1" x14ac:dyDescent="0.4">
      <c r="U129" s="1"/>
      <c r="Z129" s="1"/>
    </row>
    <row r="130" spans="21:26" ht="19.5" customHeight="1" x14ac:dyDescent="0.4">
      <c r="U130" s="1"/>
      <c r="Z130" s="1"/>
    </row>
    <row r="131" spans="21:26" ht="19.5" customHeight="1" x14ac:dyDescent="0.4">
      <c r="U131" s="1"/>
      <c r="Z131" s="1"/>
    </row>
    <row r="132" spans="21:26" ht="19.5" customHeight="1" x14ac:dyDescent="0.4">
      <c r="U132" s="1"/>
      <c r="Z132" s="1"/>
    </row>
    <row r="133" spans="21:26" ht="19.5" customHeight="1" x14ac:dyDescent="0.4">
      <c r="U133" s="1"/>
      <c r="Z133" s="1"/>
    </row>
    <row r="134" spans="21:26" ht="19.5" customHeight="1" x14ac:dyDescent="0.4">
      <c r="U134" s="1"/>
      <c r="Z134" s="1"/>
    </row>
    <row r="135" spans="21:26" ht="19.5" customHeight="1" x14ac:dyDescent="0.4">
      <c r="U135" s="1"/>
      <c r="Z135" s="1"/>
    </row>
    <row r="136" spans="21:26" ht="19.5" customHeight="1" x14ac:dyDescent="0.4">
      <c r="U136" s="1"/>
      <c r="Z136" s="1"/>
    </row>
    <row r="137" spans="21:26" ht="19.5" customHeight="1" x14ac:dyDescent="0.4">
      <c r="U137" s="1"/>
      <c r="Z137" s="1"/>
    </row>
    <row r="138" spans="21:26" ht="19.5" customHeight="1" x14ac:dyDescent="0.4">
      <c r="U138" s="1"/>
      <c r="Z138" s="1"/>
    </row>
    <row r="139" spans="21:26" ht="19.5" customHeight="1" x14ac:dyDescent="0.4">
      <c r="U139" s="1"/>
      <c r="Z139" s="1"/>
    </row>
    <row r="140" spans="21:26" ht="19.5" customHeight="1" x14ac:dyDescent="0.4">
      <c r="U140" s="1"/>
      <c r="Z140" s="1"/>
    </row>
    <row r="141" spans="21:26" ht="19.5" customHeight="1" x14ac:dyDescent="0.4">
      <c r="U141" s="1"/>
      <c r="Z141" s="1"/>
    </row>
    <row r="142" spans="21:26" ht="19.5" customHeight="1" x14ac:dyDescent="0.4">
      <c r="U142" s="1"/>
      <c r="Z142" s="1"/>
    </row>
    <row r="143" spans="21:26" ht="19.5" customHeight="1" x14ac:dyDescent="0.4">
      <c r="U143" s="1"/>
      <c r="Z143" s="1"/>
    </row>
    <row r="144" spans="21:26" ht="19.5" customHeight="1" x14ac:dyDescent="0.4">
      <c r="U144" s="1"/>
      <c r="Z144" s="1"/>
    </row>
    <row r="145" spans="3:26" ht="19.5" customHeight="1" x14ac:dyDescent="0.4">
      <c r="U145" s="1"/>
      <c r="Z145" s="1"/>
    </row>
    <row r="146" spans="3:26" ht="19.5" customHeight="1" x14ac:dyDescent="0.4">
      <c r="U146" s="1"/>
      <c r="Z146" s="1"/>
    </row>
    <row r="147" spans="3:26" ht="19.5" customHeight="1" x14ac:dyDescent="0.4">
      <c r="U147" s="1"/>
      <c r="Z147" s="1"/>
    </row>
    <row r="148" spans="3:26" ht="19.5" customHeight="1" x14ac:dyDescent="0.4">
      <c r="U148" s="1"/>
      <c r="Z148" s="1"/>
    </row>
    <row r="149" spans="3:26" ht="19.5" customHeight="1" x14ac:dyDescent="0.4">
      <c r="C149" s="1"/>
      <c r="H149" s="1"/>
      <c r="U149" s="1"/>
      <c r="Z149" s="1"/>
    </row>
    <row r="150" spans="3:26" ht="19.5" customHeight="1" x14ac:dyDescent="0.4">
      <c r="U150" s="1"/>
      <c r="Z150" s="1"/>
    </row>
    <row r="151" spans="3:26" ht="19.5" customHeight="1" x14ac:dyDescent="0.4">
      <c r="U151" s="1"/>
      <c r="Z151" s="1"/>
    </row>
    <row r="152" spans="3:26" ht="19.5" customHeight="1" x14ac:dyDescent="0.4">
      <c r="U152" s="1"/>
      <c r="Z152" s="1"/>
    </row>
    <row r="153" spans="3:26" ht="19.5" customHeight="1" x14ac:dyDescent="0.4">
      <c r="U153" s="1"/>
      <c r="Z153" s="1"/>
    </row>
    <row r="154" spans="3:26" ht="19.5" customHeight="1" x14ac:dyDescent="0.4">
      <c r="U154" s="1"/>
      <c r="Z154" s="1"/>
    </row>
    <row r="155" spans="3:26" ht="19.5" customHeight="1" x14ac:dyDescent="0.4">
      <c r="U155" s="1"/>
      <c r="Z155" s="1"/>
    </row>
    <row r="156" spans="3:26" ht="19.5" customHeight="1" x14ac:dyDescent="0.4">
      <c r="U156" s="1"/>
      <c r="Z156" s="1"/>
    </row>
    <row r="157" spans="3:26" ht="19.5" customHeight="1" x14ac:dyDescent="0.4">
      <c r="U157" s="1"/>
      <c r="Z157" s="1"/>
    </row>
    <row r="158" spans="3:26" ht="19.5" customHeight="1" x14ac:dyDescent="0.4">
      <c r="U158" s="1"/>
      <c r="Z158" s="1"/>
    </row>
    <row r="159" spans="3:26" ht="19.5" customHeight="1" x14ac:dyDescent="0.4">
      <c r="U159" s="1"/>
      <c r="Z159" s="1"/>
    </row>
    <row r="160" spans="3:26" ht="19.5" customHeight="1" x14ac:dyDescent="0.4">
      <c r="U160" s="1"/>
      <c r="Z160" s="1"/>
    </row>
    <row r="161" spans="21:26" ht="19.5" customHeight="1" x14ac:dyDescent="0.4">
      <c r="U161" s="1"/>
      <c r="Z161" s="1"/>
    </row>
    <row r="162" spans="21:26" ht="19.5" customHeight="1" x14ac:dyDescent="0.4">
      <c r="U162" s="1"/>
      <c r="Z162" s="1"/>
    </row>
    <row r="163" spans="21:26" ht="19.5" customHeight="1" x14ac:dyDescent="0.4">
      <c r="U163" s="1"/>
      <c r="Z163" s="1"/>
    </row>
    <row r="164" spans="21:26" ht="19.5" customHeight="1" x14ac:dyDescent="0.4">
      <c r="U164" s="1"/>
      <c r="Z164" s="1"/>
    </row>
    <row r="165" spans="21:26" ht="19.5" customHeight="1" x14ac:dyDescent="0.4">
      <c r="U165" s="1"/>
      <c r="Z165" s="1"/>
    </row>
    <row r="166" spans="21:26" ht="19.5" customHeight="1" x14ac:dyDescent="0.4">
      <c r="U166" s="1"/>
      <c r="Z166" s="1"/>
    </row>
    <row r="167" spans="21:26" ht="19.5" customHeight="1" x14ac:dyDescent="0.4">
      <c r="U167" s="1"/>
      <c r="Z167" s="1"/>
    </row>
  </sheetData>
  <mergeCells count="27">
    <mergeCell ref="K76:Q76"/>
    <mergeCell ref="T48:Z48"/>
    <mergeCell ref="B62:H62"/>
    <mergeCell ref="B34:H34"/>
    <mergeCell ref="T34:Z34"/>
    <mergeCell ref="K46:Q46"/>
    <mergeCell ref="T68:Z68"/>
    <mergeCell ref="K61:Q61"/>
    <mergeCell ref="B73:H73"/>
    <mergeCell ref="B63:H63"/>
    <mergeCell ref="T57:Z57"/>
    <mergeCell ref="K2:Q2"/>
    <mergeCell ref="B57:H57"/>
    <mergeCell ref="B2:H2"/>
    <mergeCell ref="K40:Q40"/>
    <mergeCell ref="B55:G55"/>
    <mergeCell ref="U5:V5"/>
    <mergeCell ref="B51:H51"/>
    <mergeCell ref="B45:H45"/>
    <mergeCell ref="B7:G7"/>
    <mergeCell ref="B26:G26"/>
    <mergeCell ref="B9:H9"/>
    <mergeCell ref="B20:G20"/>
    <mergeCell ref="B22:H22"/>
    <mergeCell ref="U8:V8"/>
    <mergeCell ref="B28:H28"/>
    <mergeCell ref="U18:V18"/>
  </mergeCells>
  <conditionalFormatting sqref="L12:M12">
    <cfRule type="duplicateValues" dxfId="19" priority="10"/>
  </conditionalFormatting>
  <conditionalFormatting sqref="U53">
    <cfRule type="duplicateValues" dxfId="18" priority="9"/>
  </conditionalFormatting>
  <conditionalFormatting sqref="L7:M7">
    <cfRule type="duplicateValues" dxfId="17" priority="23"/>
  </conditionalFormatting>
  <conditionalFormatting sqref="L53">
    <cfRule type="duplicateValues" dxfId="16" priority="16"/>
  </conditionalFormatting>
  <conditionalFormatting sqref="L73:M73">
    <cfRule type="duplicateValues" dxfId="15" priority="19"/>
  </conditionalFormatting>
  <conditionalFormatting sqref="L18">
    <cfRule type="duplicateValues" dxfId="14" priority="21"/>
  </conditionalFormatting>
  <pageMargins left="0.39370078740157483" right="0.39370078740157483" top="0.39370078740157483" bottom="0.39370078740157483" header="0" footer="0"/>
  <pageSetup paperSize="9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I166"/>
  <sheetViews>
    <sheetView topLeftCell="A4" zoomScale="55" workbookViewId="0">
      <selection activeCell="B34" sqref="B34:H34"/>
    </sheetView>
  </sheetViews>
  <sheetFormatPr defaultColWidth="9.109375" defaultRowHeight="19.5" customHeight="1" x14ac:dyDescent="0.4"/>
  <cols>
    <col min="1" max="1" width="3.5546875" style="1" customWidth="1"/>
    <col min="2" max="2" width="14.33203125" style="1" customWidth="1"/>
    <col min="3" max="3" width="57.33203125" style="3" customWidth="1"/>
    <col min="4" max="4" width="19.44140625" style="1" bestFit="1" customWidth="1"/>
    <col min="5" max="5" width="47.33203125" style="1" customWidth="1"/>
    <col min="6" max="6" width="18.5546875" style="1" customWidth="1"/>
    <col min="7" max="7" width="34.88671875" style="1" customWidth="1"/>
    <col min="8" max="8" width="15" style="2" customWidth="1"/>
    <col min="9" max="10" width="3.6640625" style="1" customWidth="1"/>
    <col min="11" max="11" width="14.33203125" style="1" customWidth="1"/>
    <col min="12" max="12" width="57.33203125" style="3" customWidth="1"/>
    <col min="13" max="13" width="19.44140625" style="1" bestFit="1" customWidth="1"/>
    <col min="14" max="14" width="47.33203125" style="1" customWidth="1"/>
    <col min="15" max="15" width="17.88671875" style="1" customWidth="1"/>
    <col min="16" max="16" width="36" style="1" customWidth="1"/>
    <col min="17" max="17" width="15" style="2" customWidth="1"/>
    <col min="18" max="19" width="3.6640625" style="1" customWidth="1"/>
    <col min="20" max="20" width="14.33203125" style="1" customWidth="1"/>
    <col min="21" max="21" width="57.33203125" style="3" customWidth="1"/>
    <col min="22" max="22" width="19.44140625" style="1" bestFit="1" customWidth="1"/>
    <col min="23" max="23" width="47.33203125" style="1" customWidth="1"/>
    <col min="24" max="24" width="19.6640625" style="1" customWidth="1"/>
    <col min="25" max="25" width="33.88671875" style="1" customWidth="1"/>
    <col min="26" max="26" width="15" style="2" customWidth="1"/>
    <col min="27" max="28" width="3.6640625" style="1" customWidth="1"/>
    <col min="29" max="29" width="14.33203125" style="1" customWidth="1"/>
    <col min="30" max="30" width="57.33203125" style="3" customWidth="1"/>
    <col min="31" max="31" width="22.44140625" style="1" bestFit="1" customWidth="1"/>
    <col min="32" max="32" width="47.33203125" style="1" customWidth="1"/>
    <col min="33" max="33" width="12" style="1" customWidth="1"/>
    <col min="34" max="34" width="33.88671875" style="1" customWidth="1"/>
    <col min="35" max="35" width="15" style="2" customWidth="1"/>
    <col min="36" max="16384" width="9.109375" style="1"/>
  </cols>
  <sheetData>
    <row r="2" spans="2:29" ht="19.5" customHeight="1" x14ac:dyDescent="0.4">
      <c r="B2" s="369" t="s">
        <v>63</v>
      </c>
      <c r="C2" s="370"/>
      <c r="D2" s="370"/>
      <c r="E2" s="370"/>
      <c r="F2" s="370"/>
      <c r="G2" s="370"/>
      <c r="H2" s="371"/>
      <c r="K2" s="330" t="s">
        <v>48</v>
      </c>
      <c r="L2" s="331"/>
      <c r="M2" s="331"/>
      <c r="N2" s="331"/>
      <c r="O2" s="331"/>
      <c r="P2" s="331"/>
      <c r="Q2" s="332"/>
    </row>
    <row r="3" spans="2:29" ht="19.5" customHeight="1" x14ac:dyDescent="0.4">
      <c r="B3" s="8" t="s">
        <v>7</v>
      </c>
      <c r="C3" s="9" t="s">
        <v>6</v>
      </c>
      <c r="D3" s="9" t="s">
        <v>5</v>
      </c>
      <c r="E3" s="9" t="s">
        <v>4</v>
      </c>
      <c r="F3" s="9" t="s">
        <v>3</v>
      </c>
      <c r="G3" s="9" t="s">
        <v>9</v>
      </c>
      <c r="H3" s="10" t="s">
        <v>1</v>
      </c>
      <c r="K3" s="110" t="s">
        <v>7</v>
      </c>
      <c r="L3" s="111" t="s">
        <v>6</v>
      </c>
      <c r="M3" s="111" t="s">
        <v>5</v>
      </c>
      <c r="N3" s="111" t="s">
        <v>4</v>
      </c>
      <c r="O3" s="111" t="s">
        <v>3</v>
      </c>
      <c r="P3" s="111" t="s">
        <v>9</v>
      </c>
      <c r="Q3" s="112" t="s">
        <v>1</v>
      </c>
    </row>
    <row r="4" spans="2:29" ht="19.5" customHeight="1" x14ac:dyDescent="0.4">
      <c r="K4" s="16"/>
      <c r="L4" s="181"/>
      <c r="M4" s="18"/>
      <c r="N4" s="19"/>
      <c r="O4" s="18"/>
      <c r="P4" s="182"/>
      <c r="Q4" s="20"/>
    </row>
    <row r="5" spans="2:29" ht="19.5" customHeight="1" x14ac:dyDescent="0.4">
      <c r="B5" s="16"/>
      <c r="C5" s="131"/>
      <c r="D5" s="18"/>
      <c r="E5" s="183"/>
      <c r="F5" s="18"/>
      <c r="G5" s="64"/>
      <c r="H5" s="20"/>
      <c r="K5" s="146"/>
      <c r="L5" s="147"/>
      <c r="M5" s="148"/>
      <c r="N5" s="184"/>
      <c r="O5" s="148"/>
      <c r="P5" s="185"/>
      <c r="Q5" s="40"/>
      <c r="U5" s="372" t="s">
        <v>113</v>
      </c>
      <c r="V5" s="372"/>
      <c r="X5" s="186"/>
      <c r="Y5" s="186"/>
      <c r="Z5" s="186"/>
    </row>
    <row r="6" spans="2:29" ht="19.5" customHeight="1" x14ac:dyDescent="0.4">
      <c r="B6" s="16"/>
      <c r="C6" s="131"/>
      <c r="D6" s="18"/>
      <c r="E6" s="167"/>
      <c r="F6" s="18"/>
      <c r="G6" s="64"/>
      <c r="H6" s="20"/>
      <c r="K6" s="100"/>
      <c r="L6" s="101" t="s">
        <v>30</v>
      </c>
      <c r="M6" s="102">
        <f>COUNTIF(O4:O5,"Лік.Хвор")</f>
        <v>0</v>
      </c>
      <c r="N6" s="101" t="s">
        <v>34</v>
      </c>
      <c r="O6" s="102">
        <f>COUNTIF(O4:O5,"Лік.Пор")</f>
        <v>0</v>
      </c>
      <c r="P6" s="103" t="s">
        <v>13</v>
      </c>
      <c r="Q6" s="46">
        <f>O6+M6</f>
        <v>0</v>
      </c>
      <c r="U6" s="30" t="s">
        <v>81</v>
      </c>
      <c r="V6" s="31" t="s">
        <v>213</v>
      </c>
      <c r="X6" s="186"/>
      <c r="Y6" s="186"/>
      <c r="Z6" s="186"/>
    </row>
    <row r="7" spans="2:29" ht="19.5" customHeight="1" x14ac:dyDescent="0.4">
      <c r="B7" s="16"/>
      <c r="C7" s="131"/>
      <c r="D7" s="18"/>
      <c r="E7" s="167"/>
      <c r="F7" s="18"/>
      <c r="G7" s="64"/>
      <c r="H7" s="65"/>
      <c r="U7" s="32" t="s">
        <v>77</v>
      </c>
      <c r="V7" s="33" t="e">
        <f>SUM(H9,H17,H25,H61,H46,H36,Q6,Q12,Q21,Q29,Q35,Z71,Z37)</f>
        <v>#REF!</v>
      </c>
      <c r="X7" s="186"/>
      <c r="Y7" s="186"/>
      <c r="Z7" s="186"/>
    </row>
    <row r="8" spans="2:29" ht="19.5" customHeight="1" x14ac:dyDescent="0.4">
      <c r="B8" s="16"/>
      <c r="C8" s="131"/>
      <c r="D8" s="18"/>
      <c r="E8" s="73"/>
      <c r="F8" s="18"/>
      <c r="G8" s="64"/>
      <c r="H8" s="20"/>
      <c r="K8" s="330" t="s">
        <v>33</v>
      </c>
      <c r="L8" s="331"/>
      <c r="M8" s="331"/>
      <c r="N8" s="331"/>
      <c r="O8" s="331"/>
      <c r="P8" s="331"/>
      <c r="Q8" s="332"/>
      <c r="U8" s="375" t="s">
        <v>75</v>
      </c>
      <c r="V8" s="375"/>
      <c r="X8" s="186"/>
      <c r="Y8" s="186"/>
      <c r="Z8" s="186"/>
      <c r="AC8" s="1" t="s">
        <v>74</v>
      </c>
    </row>
    <row r="9" spans="2:29" ht="19.5" customHeight="1" x14ac:dyDescent="0.4">
      <c r="B9" s="336" t="s">
        <v>0</v>
      </c>
      <c r="C9" s="337"/>
      <c r="D9" s="337"/>
      <c r="E9" s="337"/>
      <c r="F9" s="337"/>
      <c r="G9" s="338"/>
      <c r="H9" s="46">
        <f>COUNTA(C5:C8)</f>
        <v>0</v>
      </c>
      <c r="K9" s="8" t="s">
        <v>7</v>
      </c>
      <c r="L9" s="9" t="s">
        <v>6</v>
      </c>
      <c r="M9" s="9" t="s">
        <v>5</v>
      </c>
      <c r="N9" s="9" t="s">
        <v>4</v>
      </c>
      <c r="O9" s="9" t="s">
        <v>3</v>
      </c>
      <c r="P9" s="9" t="s">
        <v>9</v>
      </c>
      <c r="Q9" s="10" t="s">
        <v>1</v>
      </c>
      <c r="U9" s="44" t="s">
        <v>40</v>
      </c>
      <c r="V9" s="45">
        <f>Z71</f>
        <v>0</v>
      </c>
      <c r="X9" s="186"/>
      <c r="Y9" s="186"/>
      <c r="Z9" s="186"/>
    </row>
    <row r="10" spans="2:29" ht="19.5" customHeight="1" x14ac:dyDescent="0.4">
      <c r="C10" s="1"/>
      <c r="H10" s="1"/>
      <c r="K10" s="96"/>
      <c r="L10" s="151"/>
      <c r="M10" s="96"/>
      <c r="N10" s="96"/>
      <c r="O10" s="96"/>
      <c r="P10" s="96"/>
      <c r="Q10" s="97"/>
      <c r="U10" s="49" t="s">
        <v>73</v>
      </c>
      <c r="V10" s="50">
        <v>0</v>
      </c>
      <c r="X10" s="186"/>
      <c r="Y10" s="186"/>
      <c r="Z10" s="186"/>
    </row>
    <row r="11" spans="2:29" ht="19.5" customHeight="1" x14ac:dyDescent="0.4">
      <c r="B11" s="330" t="s">
        <v>61</v>
      </c>
      <c r="C11" s="331"/>
      <c r="D11" s="331"/>
      <c r="E11" s="331"/>
      <c r="F11" s="331"/>
      <c r="G11" s="331"/>
      <c r="H11" s="332"/>
      <c r="K11" s="187"/>
      <c r="L11" s="150"/>
      <c r="M11" s="96"/>
      <c r="N11" s="73"/>
      <c r="O11" s="18"/>
      <c r="P11" s="64"/>
      <c r="Q11" s="20"/>
      <c r="U11" s="54" t="s">
        <v>72</v>
      </c>
      <c r="V11" s="55">
        <f>Q6+Q12</f>
        <v>0</v>
      </c>
      <c r="X11" s="186"/>
      <c r="Y11" s="186"/>
      <c r="Z11" s="186"/>
    </row>
    <row r="12" spans="2:29" ht="19.5" customHeight="1" x14ac:dyDescent="0.4">
      <c r="B12" s="8" t="s">
        <v>7</v>
      </c>
      <c r="C12" s="9" t="s">
        <v>6</v>
      </c>
      <c r="D12" s="9" t="s">
        <v>5</v>
      </c>
      <c r="E12" s="9" t="s">
        <v>4</v>
      </c>
      <c r="F12" s="9" t="s">
        <v>3</v>
      </c>
      <c r="G12" s="9" t="s">
        <v>9</v>
      </c>
      <c r="H12" s="10" t="s">
        <v>1</v>
      </c>
      <c r="K12" s="100"/>
      <c r="L12" s="101" t="s">
        <v>30</v>
      </c>
      <c r="M12" s="102">
        <f>COUNTIF(O10:O11,"Лік.Хв")</f>
        <v>0</v>
      </c>
      <c r="N12" s="101" t="s">
        <v>29</v>
      </c>
      <c r="O12" s="102">
        <f>COUNTIF(O10:O11,"Лік.Пор")</f>
        <v>0</v>
      </c>
      <c r="P12" s="103" t="s">
        <v>13</v>
      </c>
      <c r="Q12" s="46">
        <f>O12+M12</f>
        <v>0</v>
      </c>
      <c r="U12" s="49" t="s">
        <v>28</v>
      </c>
      <c r="V12" s="50">
        <f>Q21</f>
        <v>0</v>
      </c>
      <c r="X12" s="186"/>
      <c r="Y12" s="186"/>
      <c r="Z12" s="186"/>
    </row>
    <row r="13" spans="2:29" ht="19.5" customHeight="1" x14ac:dyDescent="0.4">
      <c r="B13" s="96"/>
      <c r="C13" s="151"/>
      <c r="D13" s="96"/>
      <c r="E13" s="96"/>
      <c r="F13" s="96"/>
      <c r="G13" s="96"/>
      <c r="H13" s="97"/>
      <c r="U13" s="59" t="s">
        <v>71</v>
      </c>
      <c r="V13" s="60">
        <f>H36</f>
        <v>0</v>
      </c>
      <c r="X13" s="186"/>
      <c r="Y13" s="186"/>
      <c r="Z13" s="186"/>
    </row>
    <row r="14" spans="2:29" ht="19.5" customHeight="1" x14ac:dyDescent="0.4">
      <c r="B14" s="96"/>
      <c r="C14" s="151"/>
      <c r="D14" s="96"/>
      <c r="E14" s="96"/>
      <c r="F14" s="96"/>
      <c r="G14" s="96"/>
      <c r="H14" s="97"/>
      <c r="K14" s="330" t="s">
        <v>28</v>
      </c>
      <c r="L14" s="331"/>
      <c r="M14" s="331"/>
      <c r="N14" s="331"/>
      <c r="O14" s="331"/>
      <c r="P14" s="331"/>
      <c r="Q14" s="332"/>
      <c r="U14" s="61" t="s">
        <v>70</v>
      </c>
      <c r="V14" s="62">
        <f>Q29</f>
        <v>0</v>
      </c>
      <c r="X14" s="186"/>
      <c r="Y14" s="186"/>
      <c r="Z14" s="186"/>
    </row>
    <row r="15" spans="2:29" ht="19.5" customHeight="1" x14ac:dyDescent="0.4">
      <c r="B15" s="18"/>
      <c r="C15" s="131"/>
      <c r="D15" s="18"/>
      <c r="E15" s="167"/>
      <c r="F15" s="18"/>
      <c r="G15" s="64"/>
      <c r="H15" s="27"/>
      <c r="K15" s="8" t="s">
        <v>7</v>
      </c>
      <c r="L15" s="9" t="s">
        <v>6</v>
      </c>
      <c r="M15" s="9" t="s">
        <v>5</v>
      </c>
      <c r="N15" s="9" t="s">
        <v>4</v>
      </c>
      <c r="O15" s="9" t="s">
        <v>3</v>
      </c>
      <c r="P15" s="9" t="s">
        <v>9</v>
      </c>
      <c r="Q15" s="10" t="s">
        <v>1</v>
      </c>
      <c r="U15" s="66" t="s">
        <v>69</v>
      </c>
      <c r="V15" s="67">
        <f>Q35</f>
        <v>1</v>
      </c>
      <c r="X15" s="186"/>
      <c r="Y15" s="186"/>
      <c r="Z15" s="186"/>
    </row>
    <row r="16" spans="2:29" ht="19.5" customHeight="1" x14ac:dyDescent="0.4">
      <c r="B16" s="16"/>
      <c r="C16" s="131"/>
      <c r="D16" s="18"/>
      <c r="E16" s="167"/>
      <c r="F16" s="18"/>
      <c r="G16" s="64"/>
      <c r="H16" s="20"/>
      <c r="K16" s="11"/>
      <c r="L16" s="188"/>
      <c r="M16" s="12"/>
      <c r="N16" s="189"/>
      <c r="O16" s="190"/>
      <c r="P16" s="191"/>
      <c r="Q16" s="15"/>
      <c r="U16" s="70" t="s">
        <v>67</v>
      </c>
      <c r="V16" s="192">
        <f>SUM(V9:V15)</f>
        <v>1</v>
      </c>
      <c r="X16" s="186"/>
      <c r="Y16" s="186"/>
      <c r="Z16" s="186"/>
    </row>
    <row r="17" spans="2:28" ht="19.5" customHeight="1" x14ac:dyDescent="0.4">
      <c r="B17" s="336" t="s">
        <v>0</v>
      </c>
      <c r="C17" s="337"/>
      <c r="D17" s="337"/>
      <c r="E17" s="337"/>
      <c r="F17" s="337"/>
      <c r="G17" s="338"/>
      <c r="H17" s="46">
        <f>COUNTA(C15:C16)</f>
        <v>0</v>
      </c>
      <c r="K17" s="63"/>
      <c r="L17" s="131"/>
      <c r="M17" s="18"/>
      <c r="N17" s="23"/>
      <c r="O17" s="22"/>
      <c r="P17" s="193"/>
      <c r="Q17" s="20"/>
      <c r="U17" s="373" t="s">
        <v>112</v>
      </c>
      <c r="V17" s="374"/>
      <c r="X17" s="186"/>
      <c r="Y17" s="186"/>
      <c r="Z17" s="186"/>
    </row>
    <row r="18" spans="2:28" ht="19.5" customHeight="1" x14ac:dyDescent="0.4">
      <c r="K18" s="194"/>
      <c r="L18" s="195"/>
      <c r="M18" s="196"/>
      <c r="N18" s="197"/>
      <c r="O18" s="18"/>
      <c r="P18" s="198"/>
      <c r="Q18" s="199"/>
      <c r="U18" s="74" t="s">
        <v>63</v>
      </c>
      <c r="V18" s="200">
        <f>COUNTIF(F5:F10,"В строю")</f>
        <v>0</v>
      </c>
      <c r="X18" s="186"/>
      <c r="Y18" s="186"/>
      <c r="Z18" s="186"/>
    </row>
    <row r="19" spans="2:28" ht="19.5" customHeight="1" x14ac:dyDescent="0.4">
      <c r="B19" s="330" t="s">
        <v>212</v>
      </c>
      <c r="C19" s="331"/>
      <c r="D19" s="331"/>
      <c r="E19" s="331"/>
      <c r="F19" s="331"/>
      <c r="G19" s="331"/>
      <c r="H19" s="332"/>
      <c r="K19" s="126"/>
      <c r="L19" s="127"/>
      <c r="M19" s="128"/>
      <c r="N19" s="129"/>
      <c r="O19" s="22"/>
      <c r="P19" s="201"/>
      <c r="Q19" s="202"/>
      <c r="U19" s="77" t="s">
        <v>61</v>
      </c>
      <c r="V19" s="78">
        <f>COUNTIF(F15:F16,"В строю")</f>
        <v>0</v>
      </c>
      <c r="X19" s="186"/>
      <c r="Y19" s="186"/>
      <c r="Z19" s="186"/>
    </row>
    <row r="20" spans="2:28" ht="19.5" customHeight="1" x14ac:dyDescent="0.4">
      <c r="B20" s="8" t="s">
        <v>7</v>
      </c>
      <c r="C20" s="9" t="s">
        <v>6</v>
      </c>
      <c r="D20" s="9" t="s">
        <v>5</v>
      </c>
      <c r="E20" s="9" t="s">
        <v>4</v>
      </c>
      <c r="F20" s="9" t="s">
        <v>3</v>
      </c>
      <c r="G20" s="9" t="s">
        <v>9</v>
      </c>
      <c r="H20" s="10" t="s">
        <v>1</v>
      </c>
      <c r="K20" s="16"/>
      <c r="L20" s="203"/>
      <c r="M20" s="132"/>
      <c r="N20" s="96"/>
      <c r="O20" s="22"/>
      <c r="P20" s="27"/>
      <c r="Q20" s="204"/>
      <c r="U20" s="49" t="s">
        <v>14</v>
      </c>
      <c r="V20" s="50">
        <v>0</v>
      </c>
      <c r="X20" s="186"/>
      <c r="Y20" s="186"/>
      <c r="Z20" s="186"/>
    </row>
    <row r="21" spans="2:28" ht="19.5" customHeight="1" x14ac:dyDescent="0.4">
      <c r="B21" s="96"/>
      <c r="C21" s="151"/>
      <c r="D21" s="96"/>
      <c r="E21" s="96"/>
      <c r="F21" s="96"/>
      <c r="G21" s="96"/>
      <c r="H21" s="97"/>
      <c r="K21" s="100"/>
      <c r="L21" s="101" t="s">
        <v>19</v>
      </c>
      <c r="M21" s="102">
        <f>COUNTIF(O5:O20,"Лік.Відп.")</f>
        <v>0</v>
      </c>
      <c r="N21" s="101" t="s">
        <v>18</v>
      </c>
      <c r="O21" s="102">
        <f>COUNTIF(O5:O20,"Відп")</f>
        <v>0</v>
      </c>
      <c r="P21" s="103" t="s">
        <v>13</v>
      </c>
      <c r="Q21" s="46">
        <f>O21+M21</f>
        <v>0</v>
      </c>
      <c r="U21" s="82" t="s">
        <v>210</v>
      </c>
      <c r="V21" s="83" t="e">
        <f>Z37</f>
        <v>#REF!</v>
      </c>
      <c r="X21" s="186"/>
      <c r="Y21" s="186"/>
      <c r="Z21" s="186"/>
    </row>
    <row r="22" spans="2:28" ht="19.5" customHeight="1" x14ac:dyDescent="0.4">
      <c r="B22" s="96"/>
      <c r="C22" s="151"/>
      <c r="D22" s="96"/>
      <c r="E22" s="96"/>
      <c r="F22" s="96"/>
      <c r="G22" s="96"/>
      <c r="H22" s="97"/>
      <c r="L22" s="1"/>
      <c r="Q22" s="1"/>
      <c r="U22" s="205" t="s">
        <v>59</v>
      </c>
      <c r="V22" s="206">
        <f>COUNTIF(F24:F24,"В строю БГ")</f>
        <v>0</v>
      </c>
    </row>
    <row r="23" spans="2:28" ht="19.5" customHeight="1" x14ac:dyDescent="0.4">
      <c r="B23" s="96"/>
      <c r="C23" s="151"/>
      <c r="D23" s="96"/>
      <c r="E23" s="96"/>
      <c r="F23" s="96"/>
      <c r="G23" s="96"/>
      <c r="H23" s="97"/>
      <c r="K23" s="330" t="s">
        <v>12</v>
      </c>
      <c r="L23" s="331"/>
      <c r="M23" s="331"/>
      <c r="N23" s="331"/>
      <c r="O23" s="331"/>
      <c r="P23" s="331"/>
      <c r="Q23" s="332"/>
      <c r="U23" s="91" t="s">
        <v>107</v>
      </c>
      <c r="V23" s="207">
        <f>COUNTIF(F24:F24,"В строю")</f>
        <v>0</v>
      </c>
    </row>
    <row r="24" spans="2:28" ht="19.5" customHeight="1" x14ac:dyDescent="0.4">
      <c r="B24" s="16"/>
      <c r="C24" s="131"/>
      <c r="D24" s="18"/>
      <c r="E24" s="164"/>
      <c r="F24" s="18"/>
      <c r="G24" s="96"/>
      <c r="H24" s="65"/>
      <c r="K24" s="110" t="s">
        <v>7</v>
      </c>
      <c r="L24" s="111" t="s">
        <v>6</v>
      </c>
      <c r="M24" s="111" t="s">
        <v>5</v>
      </c>
      <c r="N24" s="111" t="s">
        <v>4</v>
      </c>
      <c r="O24" s="111" t="s">
        <v>3</v>
      </c>
      <c r="P24" s="111" t="s">
        <v>9</v>
      </c>
      <c r="Q24" s="112" t="s">
        <v>1</v>
      </c>
      <c r="U24" s="70" t="s">
        <v>106</v>
      </c>
      <c r="V24" s="192" t="e">
        <f>SUM(V18:V23)</f>
        <v>#REF!</v>
      </c>
    </row>
    <row r="25" spans="2:28" ht="19.5" customHeight="1" x14ac:dyDescent="0.4">
      <c r="B25" s="208" t="s">
        <v>0</v>
      </c>
      <c r="C25" s="209"/>
      <c r="D25" s="209"/>
      <c r="E25" s="209"/>
      <c r="F25" s="209"/>
      <c r="G25" s="210"/>
      <c r="H25" s="46">
        <f>COUNTA(C24:C24)</f>
        <v>0</v>
      </c>
    </row>
    <row r="27" spans="2:28" ht="19.5" customHeight="1" x14ac:dyDescent="0.4">
      <c r="B27" s="330" t="s">
        <v>8</v>
      </c>
      <c r="C27" s="331"/>
      <c r="D27" s="331"/>
      <c r="E27" s="331"/>
      <c r="F27" s="331"/>
      <c r="G27" s="331"/>
      <c r="H27" s="332"/>
    </row>
    <row r="28" spans="2:28" ht="19.5" customHeight="1" x14ac:dyDescent="0.4">
      <c r="B28" s="110" t="s">
        <v>7</v>
      </c>
      <c r="C28" s="111" t="s">
        <v>6</v>
      </c>
      <c r="D28" s="111" t="s">
        <v>5</v>
      </c>
      <c r="E28" s="111" t="s">
        <v>4</v>
      </c>
      <c r="F28" s="111" t="s">
        <v>3</v>
      </c>
      <c r="G28" s="111" t="s">
        <v>9</v>
      </c>
      <c r="H28" s="112" t="s">
        <v>1</v>
      </c>
      <c r="K28" s="16"/>
      <c r="L28" s="131"/>
      <c r="M28" s="18"/>
      <c r="N28" s="167"/>
      <c r="O28" s="18"/>
      <c r="P28" s="165"/>
      <c r="Q28" s="20"/>
    </row>
    <row r="29" spans="2:28" ht="19.5" customHeight="1" x14ac:dyDescent="0.4">
      <c r="K29" s="211" t="s">
        <v>0</v>
      </c>
      <c r="L29" s="212"/>
      <c r="M29" s="212"/>
      <c r="N29" s="212"/>
      <c r="O29" s="212"/>
      <c r="P29" s="213"/>
      <c r="Q29" s="145">
        <f>COUNTA(L28:L28)</f>
        <v>0</v>
      </c>
    </row>
    <row r="30" spans="2:28" ht="19.5" customHeight="1" x14ac:dyDescent="0.4">
      <c r="K30" s="2"/>
      <c r="L30" s="2"/>
      <c r="M30" s="2"/>
      <c r="N30" s="2"/>
      <c r="O30" s="2"/>
      <c r="P30" s="2"/>
    </row>
    <row r="31" spans="2:28" ht="19.5" customHeight="1" x14ac:dyDescent="0.4">
      <c r="K31" s="330" t="s">
        <v>10</v>
      </c>
      <c r="L31" s="331"/>
      <c r="M31" s="331"/>
      <c r="N31" s="331"/>
      <c r="O31" s="331"/>
      <c r="P31" s="331"/>
      <c r="Q31" s="332"/>
    </row>
    <row r="32" spans="2:28" ht="19.5" customHeight="1" x14ac:dyDescent="0.4">
      <c r="K32" s="110" t="s">
        <v>7</v>
      </c>
      <c r="L32" s="111" t="s">
        <v>6</v>
      </c>
      <c r="M32" s="111" t="s">
        <v>5</v>
      </c>
      <c r="N32" s="111" t="s">
        <v>4</v>
      </c>
      <c r="O32" s="111" t="s">
        <v>3</v>
      </c>
      <c r="P32" s="111" t="s">
        <v>9</v>
      </c>
      <c r="Q32" s="112" t="s">
        <v>1</v>
      </c>
      <c r="T32" s="360" t="s">
        <v>210</v>
      </c>
      <c r="U32" s="361"/>
      <c r="V32" s="361"/>
      <c r="W32" s="361"/>
      <c r="X32" s="361"/>
      <c r="Y32" s="361"/>
      <c r="Z32" s="362"/>
      <c r="AA32" s="3"/>
      <c r="AB32" s="3"/>
    </row>
    <row r="33" spans="2:28" ht="19.5" customHeight="1" x14ac:dyDescent="0.4">
      <c r="I33" s="4"/>
      <c r="J33" s="4"/>
      <c r="K33" s="214" t="s">
        <v>11</v>
      </c>
      <c r="L33" s="203" t="s">
        <v>89</v>
      </c>
      <c r="M33" s="132" t="s">
        <v>88</v>
      </c>
      <c r="N33" s="73"/>
      <c r="O33" s="18">
        <v>200</v>
      </c>
      <c r="P33" s="165">
        <v>45858</v>
      </c>
      <c r="Q33" s="20" t="s">
        <v>211</v>
      </c>
      <c r="T33" s="107" t="s">
        <v>7</v>
      </c>
      <c r="U33" s="108" t="s">
        <v>6</v>
      </c>
      <c r="V33" s="108" t="s">
        <v>5</v>
      </c>
      <c r="W33" s="108" t="s">
        <v>4</v>
      </c>
      <c r="X33" s="108" t="s">
        <v>3</v>
      </c>
      <c r="Y33" s="108" t="s">
        <v>9</v>
      </c>
      <c r="Z33" s="109" t="s">
        <v>1</v>
      </c>
      <c r="AA33" s="3"/>
      <c r="AB33" s="3"/>
    </row>
    <row r="34" spans="2:28" ht="19.5" customHeight="1" x14ac:dyDescent="0.4">
      <c r="I34" s="3"/>
      <c r="J34" s="3"/>
      <c r="K34" s="16"/>
      <c r="L34" s="18"/>
      <c r="M34" s="18"/>
      <c r="N34" s="167"/>
      <c r="O34" s="18"/>
      <c r="P34" s="64"/>
      <c r="Q34" s="20"/>
      <c r="T34" s="96"/>
      <c r="U34" s="151"/>
      <c r="V34" s="96"/>
      <c r="W34" s="96"/>
      <c r="X34" s="96"/>
      <c r="Y34" s="96"/>
      <c r="Z34" s="97"/>
      <c r="AA34" s="3"/>
      <c r="AB34" s="3"/>
    </row>
    <row r="35" spans="2:28" ht="19.5" customHeight="1" x14ac:dyDescent="0.4">
      <c r="B35" s="37"/>
      <c r="C35" s="38"/>
      <c r="D35" s="39"/>
      <c r="E35" s="215"/>
      <c r="F35" s="39"/>
      <c r="G35" s="216"/>
      <c r="H35" s="217"/>
      <c r="I35" s="3"/>
      <c r="J35" s="3"/>
      <c r="K35" s="211" t="s">
        <v>0</v>
      </c>
      <c r="L35" s="212"/>
      <c r="M35" s="212"/>
      <c r="N35" s="212"/>
      <c r="O35" s="212"/>
      <c r="P35" s="213"/>
      <c r="Q35" s="145">
        <f>COUNTA(L33:L34)</f>
        <v>1</v>
      </c>
      <c r="T35" s="96"/>
      <c r="U35" s="151"/>
      <c r="V35" s="96"/>
      <c r="W35" s="96"/>
      <c r="X35" s="96"/>
      <c r="Y35" s="96"/>
      <c r="Z35" s="97"/>
      <c r="AA35" s="3"/>
      <c r="AB35" s="3"/>
    </row>
    <row r="36" spans="2:28" ht="19.5" customHeight="1" x14ac:dyDescent="0.4">
      <c r="B36" s="376" t="s">
        <v>0</v>
      </c>
      <c r="C36" s="377"/>
      <c r="D36" s="377"/>
      <c r="E36" s="377"/>
      <c r="F36" s="377"/>
      <c r="G36" s="378"/>
      <c r="H36" s="145">
        <f>COUNTA(C33:C35)</f>
        <v>0</v>
      </c>
      <c r="I36" s="3"/>
      <c r="J36" s="3"/>
      <c r="K36" s="2"/>
      <c r="L36" s="2"/>
      <c r="M36" s="2"/>
      <c r="N36" s="2"/>
      <c r="O36" s="2"/>
      <c r="P36" s="2"/>
      <c r="T36" s="96"/>
      <c r="U36" s="151"/>
      <c r="V36" s="96"/>
      <c r="W36" s="96"/>
      <c r="X36" s="96"/>
      <c r="Y36" s="96"/>
      <c r="Z36" s="97"/>
      <c r="AA36" s="3"/>
      <c r="AB36" s="3"/>
    </row>
    <row r="37" spans="2:28" ht="19.5" customHeight="1" x14ac:dyDescent="0.4">
      <c r="C37" s="1"/>
      <c r="H37" s="1"/>
      <c r="I37" s="3"/>
      <c r="J37" s="3"/>
      <c r="T37" s="100"/>
      <c r="U37" s="101" t="s">
        <v>42</v>
      </c>
      <c r="V37" s="102" t="e">
        <f>COUNTIF('3ПР'!#REF!,"5ПБ 1ПР")</f>
        <v>#REF!</v>
      </c>
      <c r="W37" s="101" t="s">
        <v>14</v>
      </c>
      <c r="X37" s="125">
        <v>0</v>
      </c>
      <c r="Y37" s="103" t="s">
        <v>13</v>
      </c>
      <c r="Z37" s="46" t="e">
        <f>X37+V37</f>
        <v>#REF!</v>
      </c>
      <c r="AA37" s="3"/>
      <c r="AB37" s="3"/>
    </row>
    <row r="38" spans="2:28" ht="19.5" customHeight="1" x14ac:dyDescent="0.4">
      <c r="C38" s="1"/>
      <c r="H38" s="1"/>
      <c r="I38" s="3"/>
      <c r="J38" s="3"/>
      <c r="U38" s="1"/>
      <c r="Z38" s="1"/>
      <c r="AA38" s="3"/>
      <c r="AB38" s="3"/>
    </row>
    <row r="39" spans="2:28" ht="19.5" customHeight="1" x14ac:dyDescent="0.4">
      <c r="C39" s="1"/>
      <c r="H39" s="1"/>
      <c r="I39" s="3"/>
      <c r="J39" s="3"/>
      <c r="U39" s="1"/>
      <c r="Z39" s="1"/>
      <c r="AA39" s="3"/>
      <c r="AB39" s="3"/>
    </row>
    <row r="40" spans="2:28" ht="19.5" customHeight="1" x14ac:dyDescent="0.4">
      <c r="C40" s="1"/>
      <c r="H40" s="1"/>
      <c r="I40" s="3"/>
      <c r="J40" s="3"/>
      <c r="U40" s="1"/>
      <c r="Z40" s="1"/>
      <c r="AA40" s="3"/>
      <c r="AB40" s="3"/>
    </row>
    <row r="41" spans="2:28" ht="19.5" customHeight="1" x14ac:dyDescent="0.4">
      <c r="C41" s="1"/>
      <c r="H41" s="1"/>
      <c r="I41" s="3"/>
      <c r="J41" s="3"/>
      <c r="U41" s="1"/>
      <c r="Z41" s="1"/>
      <c r="AA41" s="3"/>
      <c r="AB41" s="3"/>
    </row>
    <row r="42" spans="2:28" ht="19.5" customHeight="1" x14ac:dyDescent="0.4">
      <c r="C42" s="1"/>
      <c r="H42" s="1"/>
      <c r="I42" s="3"/>
      <c r="J42" s="3"/>
      <c r="U42" s="1"/>
      <c r="Z42" s="1"/>
      <c r="AA42" s="3"/>
      <c r="AB42" s="3"/>
    </row>
    <row r="43" spans="2:28" ht="19.5" customHeight="1" x14ac:dyDescent="0.4">
      <c r="C43" s="1"/>
      <c r="H43" s="1"/>
      <c r="I43" s="3"/>
      <c r="J43" s="3"/>
      <c r="U43" s="1"/>
      <c r="Z43" s="1"/>
      <c r="AA43" s="3"/>
      <c r="AB43" s="3"/>
    </row>
    <row r="44" spans="2:28" ht="19.5" customHeight="1" x14ac:dyDescent="0.4">
      <c r="C44" s="1"/>
      <c r="H44" s="1"/>
      <c r="I44" s="3"/>
      <c r="J44" s="3"/>
      <c r="U44" s="1"/>
      <c r="Z44" s="1"/>
      <c r="AA44" s="3"/>
      <c r="AB44" s="3"/>
    </row>
    <row r="45" spans="2:28" ht="19.5" customHeight="1" x14ac:dyDescent="0.4">
      <c r="C45" s="1"/>
      <c r="H45" s="1"/>
      <c r="I45" s="3"/>
      <c r="J45" s="3"/>
      <c r="U45" s="1"/>
      <c r="Z45" s="1"/>
      <c r="AA45" s="3"/>
      <c r="AB45" s="3"/>
    </row>
    <row r="46" spans="2:28" ht="19.5" customHeight="1" x14ac:dyDescent="0.4">
      <c r="C46" s="1"/>
      <c r="H46" s="1"/>
      <c r="U46" s="1"/>
      <c r="Z46" s="1"/>
      <c r="AA46" s="3"/>
      <c r="AB46" s="3"/>
    </row>
    <row r="47" spans="2:28" ht="19.5" customHeight="1" x14ac:dyDescent="0.4">
      <c r="C47" s="1"/>
      <c r="H47" s="1"/>
      <c r="U47" s="1"/>
      <c r="Z47" s="1"/>
      <c r="AA47" s="3"/>
      <c r="AB47" s="3"/>
    </row>
    <row r="48" spans="2:28" ht="19.5" customHeight="1" x14ac:dyDescent="0.4">
      <c r="B48" s="3"/>
      <c r="D48" s="3"/>
      <c r="E48" s="3"/>
      <c r="F48" s="3"/>
      <c r="G48" s="3"/>
      <c r="H48" s="3"/>
      <c r="U48" s="1"/>
      <c r="Z48" s="1"/>
      <c r="AA48" s="3"/>
      <c r="AB48" s="3"/>
    </row>
    <row r="49" spans="2:26" ht="19.5" customHeight="1" x14ac:dyDescent="0.4">
      <c r="B49" s="3"/>
      <c r="D49" s="3"/>
      <c r="E49" s="3"/>
      <c r="F49" s="3"/>
      <c r="G49" s="3"/>
      <c r="H49" s="3"/>
      <c r="U49" s="1"/>
      <c r="Z49" s="1"/>
    </row>
    <row r="50" spans="2:26" ht="19.5" customHeight="1" x14ac:dyDescent="0.4">
      <c r="B50" s="3"/>
      <c r="D50" s="3"/>
      <c r="E50" s="3"/>
      <c r="F50" s="3"/>
      <c r="G50" s="3"/>
      <c r="H50" s="3"/>
      <c r="U50" s="1"/>
      <c r="Z50" s="1"/>
    </row>
    <row r="51" spans="2:26" ht="19.5" customHeight="1" x14ac:dyDescent="0.4">
      <c r="B51" s="3"/>
      <c r="D51" s="3"/>
      <c r="E51" s="3"/>
      <c r="F51" s="3"/>
      <c r="G51" s="3"/>
      <c r="H51" s="3"/>
      <c r="U51" s="1"/>
      <c r="Z51" s="1"/>
    </row>
    <row r="52" spans="2:26" ht="19.5" customHeight="1" x14ac:dyDescent="0.4">
      <c r="B52" s="3"/>
      <c r="D52" s="3"/>
      <c r="E52" s="3"/>
      <c r="F52" s="3"/>
      <c r="G52" s="3"/>
      <c r="H52" s="3"/>
      <c r="U52" s="1"/>
      <c r="Z52" s="1"/>
    </row>
    <row r="53" spans="2:26" ht="19.5" customHeight="1" x14ac:dyDescent="0.4">
      <c r="B53" s="3"/>
      <c r="D53" s="3"/>
      <c r="E53" s="3"/>
      <c r="F53" s="3"/>
      <c r="G53" s="3"/>
      <c r="H53" s="3"/>
      <c r="U53" s="1"/>
      <c r="Z53" s="1"/>
    </row>
    <row r="54" spans="2:26" ht="19.5" customHeight="1" x14ac:dyDescent="0.4">
      <c r="B54" s="3"/>
      <c r="D54" s="3"/>
      <c r="E54" s="3"/>
      <c r="F54" s="3"/>
      <c r="G54" s="3"/>
      <c r="H54" s="3"/>
      <c r="U54" s="1"/>
      <c r="Z54" s="1"/>
    </row>
    <row r="55" spans="2:26" ht="19.5" customHeight="1" x14ac:dyDescent="0.4">
      <c r="B55" s="3"/>
      <c r="D55" s="3"/>
      <c r="E55" s="3"/>
      <c r="F55" s="3"/>
      <c r="G55" s="3"/>
      <c r="H55" s="3"/>
      <c r="U55" s="1"/>
      <c r="Z55" s="1"/>
    </row>
    <row r="56" spans="2:26" ht="19.5" customHeight="1" x14ac:dyDescent="0.4">
      <c r="B56" s="3"/>
      <c r="D56" s="3"/>
      <c r="E56" s="3"/>
      <c r="F56" s="3"/>
      <c r="G56" s="3"/>
      <c r="H56" s="3"/>
      <c r="U56" s="1"/>
      <c r="Z56" s="1"/>
    </row>
    <row r="57" spans="2:26" ht="19.5" customHeight="1" x14ac:dyDescent="0.4">
      <c r="B57" s="3"/>
      <c r="D57" s="3"/>
      <c r="E57" s="3"/>
      <c r="F57" s="3"/>
      <c r="G57" s="3"/>
      <c r="H57" s="3"/>
      <c r="U57" s="1"/>
      <c r="Z57" s="1"/>
    </row>
    <row r="58" spans="2:26" ht="19.5" customHeight="1" x14ac:dyDescent="0.4">
      <c r="B58" s="3"/>
      <c r="D58" s="3"/>
      <c r="E58" s="3"/>
      <c r="F58" s="3"/>
      <c r="G58" s="3"/>
      <c r="H58" s="3"/>
      <c r="U58" s="1"/>
      <c r="Z58" s="1"/>
    </row>
    <row r="59" spans="2:26" ht="19.5" customHeight="1" x14ac:dyDescent="0.4">
      <c r="B59" s="3"/>
      <c r="D59" s="3"/>
      <c r="E59" s="3"/>
      <c r="F59" s="3"/>
      <c r="G59" s="3"/>
      <c r="H59" s="3"/>
      <c r="U59" s="1"/>
      <c r="Z59" s="1"/>
    </row>
    <row r="60" spans="2:26" ht="19.5" customHeight="1" x14ac:dyDescent="0.4">
      <c r="B60" s="3"/>
      <c r="D60" s="3"/>
      <c r="E60" s="3"/>
      <c r="F60" s="3"/>
      <c r="G60" s="3"/>
      <c r="H60" s="3"/>
      <c r="U60" s="1"/>
      <c r="Z60" s="1"/>
    </row>
    <row r="61" spans="2:26" ht="19.5" customHeight="1" x14ac:dyDescent="0.4">
      <c r="B61" s="3"/>
      <c r="D61" s="3"/>
      <c r="E61" s="3"/>
      <c r="F61" s="3"/>
      <c r="G61" s="3"/>
      <c r="H61" s="3"/>
      <c r="U61" s="1"/>
      <c r="Z61" s="1"/>
    </row>
    <row r="62" spans="2:26" ht="19.5" customHeight="1" x14ac:dyDescent="0.4">
      <c r="B62" s="3"/>
      <c r="D62" s="3"/>
      <c r="E62" s="3"/>
      <c r="F62" s="3"/>
      <c r="G62" s="3"/>
      <c r="H62" s="3"/>
      <c r="U62" s="1"/>
      <c r="Z62" s="1"/>
    </row>
    <row r="63" spans="2:26" ht="19.5" customHeight="1" x14ac:dyDescent="0.4">
      <c r="U63" s="1"/>
      <c r="Z63" s="1"/>
    </row>
    <row r="64" spans="2:26" ht="19.5" customHeight="1" x14ac:dyDescent="0.4">
      <c r="U64" s="1"/>
      <c r="Z64" s="1"/>
    </row>
    <row r="65" spans="21:26" ht="19.5" customHeight="1" x14ac:dyDescent="0.4">
      <c r="U65" s="1"/>
      <c r="Z65" s="1"/>
    </row>
    <row r="66" spans="21:26" ht="19.5" customHeight="1" x14ac:dyDescent="0.4">
      <c r="U66" s="1"/>
      <c r="Z66" s="1"/>
    </row>
    <row r="67" spans="21:26" ht="19.5" customHeight="1" x14ac:dyDescent="0.4">
      <c r="U67" s="1"/>
      <c r="Z67" s="1"/>
    </row>
    <row r="68" spans="21:26" ht="19.5" customHeight="1" x14ac:dyDescent="0.4">
      <c r="U68" s="1"/>
      <c r="Z68" s="1"/>
    </row>
    <row r="69" spans="21:26" ht="19.5" customHeight="1" x14ac:dyDescent="0.4">
      <c r="U69" s="1"/>
      <c r="Z69" s="1"/>
    </row>
    <row r="70" spans="21:26" ht="19.5" customHeight="1" x14ac:dyDescent="0.4">
      <c r="U70" s="1"/>
      <c r="Z70" s="1"/>
    </row>
    <row r="71" spans="21:26" ht="19.5" customHeight="1" x14ac:dyDescent="0.4">
      <c r="U71" s="1"/>
      <c r="Z71" s="1"/>
    </row>
    <row r="73" spans="21:26" ht="19.5" customHeight="1" x14ac:dyDescent="0.4">
      <c r="U73" s="1"/>
      <c r="Z73" s="1"/>
    </row>
    <row r="74" spans="21:26" ht="19.5" customHeight="1" x14ac:dyDescent="0.4">
      <c r="U74" s="1"/>
      <c r="Z74" s="1"/>
    </row>
    <row r="75" spans="21:26" ht="19.5" customHeight="1" x14ac:dyDescent="0.4">
      <c r="U75" s="1"/>
      <c r="Z75" s="1"/>
    </row>
    <row r="76" spans="21:26" ht="19.5" customHeight="1" x14ac:dyDescent="0.4">
      <c r="U76" s="1"/>
      <c r="Z76" s="1"/>
    </row>
    <row r="77" spans="21:26" ht="19.5" customHeight="1" x14ac:dyDescent="0.4">
      <c r="U77" s="1"/>
      <c r="Z77" s="1"/>
    </row>
    <row r="78" spans="21:26" ht="19.5" customHeight="1" x14ac:dyDescent="0.4">
      <c r="U78" s="1"/>
      <c r="Z78" s="1"/>
    </row>
    <row r="79" spans="21:26" ht="19.5" customHeight="1" x14ac:dyDescent="0.4">
      <c r="U79" s="1"/>
      <c r="Z79" s="1"/>
    </row>
    <row r="80" spans="21:26" ht="19.5" customHeight="1" x14ac:dyDescent="0.4">
      <c r="U80" s="1"/>
      <c r="Z80" s="1"/>
    </row>
    <row r="81" spans="3:26" ht="19.5" customHeight="1" x14ac:dyDescent="0.4">
      <c r="U81" s="1"/>
      <c r="Z81" s="1"/>
    </row>
    <row r="82" spans="3:26" ht="19.5" customHeight="1" x14ac:dyDescent="0.4">
      <c r="U82" s="1"/>
      <c r="Z82" s="1"/>
    </row>
    <row r="83" spans="3:26" ht="19.5" customHeight="1" x14ac:dyDescent="0.4">
      <c r="U83" s="1"/>
      <c r="Z83" s="1"/>
    </row>
    <row r="84" spans="3:26" ht="19.5" customHeight="1" x14ac:dyDescent="0.4">
      <c r="U84" s="1"/>
      <c r="Z84" s="1"/>
    </row>
    <row r="85" spans="3:26" ht="19.5" customHeight="1" x14ac:dyDescent="0.4">
      <c r="U85" s="1"/>
      <c r="Z85" s="1"/>
    </row>
    <row r="86" spans="3:26" ht="19.5" customHeight="1" x14ac:dyDescent="0.4">
      <c r="U86" s="1"/>
      <c r="Z86" s="1"/>
    </row>
    <row r="87" spans="3:26" ht="19.5" customHeight="1" x14ac:dyDescent="0.4">
      <c r="U87" s="1"/>
      <c r="Z87" s="1"/>
    </row>
    <row r="88" spans="3:26" ht="19.5" customHeight="1" x14ac:dyDescent="0.4">
      <c r="U88" s="1"/>
      <c r="Z88" s="1"/>
    </row>
    <row r="89" spans="3:26" ht="19.5" customHeight="1" x14ac:dyDescent="0.4">
      <c r="U89" s="1"/>
      <c r="Z89" s="1"/>
    </row>
    <row r="90" spans="3:26" ht="19.5" customHeight="1" x14ac:dyDescent="0.4">
      <c r="U90" s="1"/>
      <c r="Z90" s="1"/>
    </row>
    <row r="91" spans="3:26" ht="19.5" customHeight="1" x14ac:dyDescent="0.4">
      <c r="U91" s="1"/>
      <c r="Z91" s="1"/>
    </row>
    <row r="92" spans="3:26" ht="19.5" customHeight="1" x14ac:dyDescent="0.4">
      <c r="U92" s="1"/>
      <c r="Z92" s="1"/>
    </row>
    <row r="93" spans="3:26" ht="19.5" customHeight="1" x14ac:dyDescent="0.4">
      <c r="C93" s="1"/>
      <c r="H93" s="1"/>
      <c r="U93" s="1"/>
      <c r="Z93" s="1"/>
    </row>
    <row r="94" spans="3:26" ht="19.5" customHeight="1" x14ac:dyDescent="0.4">
      <c r="C94" s="1"/>
      <c r="H94" s="1"/>
      <c r="U94" s="1"/>
      <c r="Z94" s="1"/>
    </row>
    <row r="95" spans="3:26" ht="19.5" customHeight="1" x14ac:dyDescent="0.4">
      <c r="C95" s="1"/>
      <c r="H95" s="1"/>
      <c r="U95" s="1"/>
      <c r="Z95" s="1"/>
    </row>
    <row r="96" spans="3:26" ht="19.5" customHeight="1" x14ac:dyDescent="0.4">
      <c r="C96" s="1"/>
      <c r="H96" s="1"/>
      <c r="U96" s="1"/>
      <c r="Z96" s="1"/>
    </row>
    <row r="97" spans="3:26" ht="19.5" customHeight="1" x14ac:dyDescent="0.4">
      <c r="C97" s="1"/>
      <c r="H97" s="1"/>
      <c r="U97" s="1"/>
      <c r="Z97" s="1"/>
    </row>
    <row r="98" spans="3:26" ht="19.5" customHeight="1" x14ac:dyDescent="0.4">
      <c r="C98" s="1"/>
      <c r="H98" s="1"/>
      <c r="U98" s="1"/>
      <c r="Z98" s="1"/>
    </row>
    <row r="99" spans="3:26" ht="19.5" customHeight="1" x14ac:dyDescent="0.4">
      <c r="U99" s="1"/>
      <c r="Z99" s="1"/>
    </row>
    <row r="100" spans="3:26" ht="19.5" customHeight="1" x14ac:dyDescent="0.4">
      <c r="U100" s="1"/>
      <c r="Z100" s="1"/>
    </row>
    <row r="101" spans="3:26" ht="19.5" customHeight="1" x14ac:dyDescent="0.4">
      <c r="U101" s="1"/>
      <c r="Z101" s="1"/>
    </row>
    <row r="102" spans="3:26" ht="19.5" customHeight="1" x14ac:dyDescent="0.4">
      <c r="U102" s="1"/>
      <c r="Z102" s="1"/>
    </row>
    <row r="103" spans="3:26" ht="19.5" customHeight="1" x14ac:dyDescent="0.4">
      <c r="U103" s="1"/>
      <c r="Z103" s="1"/>
    </row>
    <row r="104" spans="3:26" ht="19.5" customHeight="1" x14ac:dyDescent="0.4">
      <c r="U104" s="1"/>
      <c r="Z104" s="1"/>
    </row>
    <row r="105" spans="3:26" ht="19.5" customHeight="1" x14ac:dyDescent="0.4">
      <c r="U105" s="1"/>
      <c r="Z105" s="1"/>
    </row>
    <row r="106" spans="3:26" ht="19.5" customHeight="1" x14ac:dyDescent="0.4">
      <c r="U106" s="1"/>
      <c r="Z106" s="1"/>
    </row>
    <row r="107" spans="3:26" ht="19.5" customHeight="1" x14ac:dyDescent="0.4">
      <c r="U107" s="1"/>
      <c r="Z107" s="1"/>
    </row>
    <row r="108" spans="3:26" ht="19.5" customHeight="1" x14ac:dyDescent="0.4">
      <c r="U108" s="1"/>
      <c r="Z108" s="1"/>
    </row>
    <row r="109" spans="3:26" ht="19.5" customHeight="1" x14ac:dyDescent="0.4">
      <c r="U109" s="1"/>
      <c r="Z109" s="1"/>
    </row>
    <row r="110" spans="3:26" ht="19.5" customHeight="1" x14ac:dyDescent="0.4">
      <c r="U110" s="1"/>
      <c r="Z110" s="1"/>
    </row>
    <row r="111" spans="3:26" ht="19.5" customHeight="1" x14ac:dyDescent="0.4">
      <c r="U111" s="1"/>
      <c r="Z111" s="1"/>
    </row>
    <row r="112" spans="3:26" ht="19.5" customHeight="1" x14ac:dyDescent="0.4">
      <c r="L112" s="1"/>
      <c r="Q112" s="1"/>
      <c r="U112" s="1"/>
      <c r="Z112" s="1"/>
    </row>
    <row r="113" spans="12:26" ht="19.5" customHeight="1" x14ac:dyDescent="0.4">
      <c r="L113" s="1"/>
      <c r="Q113" s="1"/>
      <c r="U113" s="1"/>
      <c r="Z113" s="1"/>
    </row>
    <row r="114" spans="12:26" ht="19.5" customHeight="1" x14ac:dyDescent="0.4">
      <c r="L114" s="1"/>
      <c r="Q114" s="1"/>
      <c r="U114" s="1"/>
      <c r="Z114" s="1"/>
    </row>
    <row r="115" spans="12:26" ht="19.5" customHeight="1" x14ac:dyDescent="0.4">
      <c r="L115" s="1"/>
      <c r="Q115" s="1"/>
      <c r="U115" s="1"/>
      <c r="Z115" s="1"/>
    </row>
    <row r="116" spans="12:26" ht="19.5" customHeight="1" x14ac:dyDescent="0.4">
      <c r="L116" s="1"/>
      <c r="Q116" s="1"/>
      <c r="U116" s="1"/>
      <c r="Z116" s="1"/>
    </row>
    <row r="117" spans="12:26" ht="19.5" customHeight="1" x14ac:dyDescent="0.4">
      <c r="L117" s="1"/>
      <c r="Q117" s="1"/>
      <c r="U117" s="1"/>
      <c r="Z117" s="1"/>
    </row>
    <row r="118" spans="12:26" ht="19.5" customHeight="1" x14ac:dyDescent="0.4">
      <c r="L118" s="1"/>
      <c r="Q118" s="1"/>
      <c r="U118" s="1"/>
      <c r="Z118" s="1"/>
    </row>
    <row r="119" spans="12:26" ht="19.5" customHeight="1" x14ac:dyDescent="0.4">
      <c r="U119" s="1"/>
      <c r="Z119" s="1"/>
    </row>
    <row r="120" spans="12:26" ht="19.5" customHeight="1" x14ac:dyDescent="0.4">
      <c r="U120" s="1"/>
      <c r="Z120" s="1"/>
    </row>
    <row r="121" spans="12:26" ht="19.5" customHeight="1" x14ac:dyDescent="0.4">
      <c r="U121" s="1"/>
      <c r="Z121" s="1"/>
    </row>
    <row r="122" spans="12:26" ht="19.5" customHeight="1" x14ac:dyDescent="0.4">
      <c r="U122" s="1"/>
      <c r="Z122" s="1"/>
    </row>
    <row r="123" spans="12:26" ht="19.5" customHeight="1" x14ac:dyDescent="0.4">
      <c r="U123" s="1"/>
      <c r="Z123" s="1"/>
    </row>
    <row r="124" spans="12:26" ht="19.5" customHeight="1" x14ac:dyDescent="0.4">
      <c r="U124" s="1"/>
      <c r="Z124" s="1"/>
    </row>
    <row r="125" spans="12:26" ht="19.5" customHeight="1" x14ac:dyDescent="0.4">
      <c r="U125" s="1"/>
      <c r="Z125" s="1"/>
    </row>
    <row r="126" spans="12:26" ht="19.5" customHeight="1" x14ac:dyDescent="0.4">
      <c r="U126" s="1"/>
      <c r="Z126" s="1"/>
    </row>
    <row r="127" spans="12:26" ht="19.5" customHeight="1" x14ac:dyDescent="0.4">
      <c r="U127" s="1"/>
      <c r="Z127" s="1"/>
    </row>
    <row r="128" spans="12:26" ht="19.5" customHeight="1" x14ac:dyDescent="0.4">
      <c r="U128" s="1"/>
      <c r="Z128" s="1"/>
    </row>
    <row r="129" spans="21:26" ht="19.5" customHeight="1" x14ac:dyDescent="0.4">
      <c r="U129" s="1"/>
      <c r="Z129" s="1"/>
    </row>
    <row r="130" spans="21:26" ht="19.5" customHeight="1" x14ac:dyDescent="0.4">
      <c r="U130" s="1"/>
      <c r="Z130" s="1"/>
    </row>
    <row r="131" spans="21:26" ht="19.5" customHeight="1" x14ac:dyDescent="0.4">
      <c r="U131" s="1"/>
      <c r="Z131" s="1"/>
    </row>
    <row r="132" spans="21:26" ht="19.5" customHeight="1" x14ac:dyDescent="0.4">
      <c r="U132" s="1"/>
      <c r="Z132" s="1"/>
    </row>
    <row r="133" spans="21:26" ht="19.5" customHeight="1" x14ac:dyDescent="0.4">
      <c r="U133" s="1"/>
      <c r="Z133" s="1"/>
    </row>
    <row r="134" spans="21:26" ht="19.5" customHeight="1" x14ac:dyDescent="0.4">
      <c r="U134" s="1"/>
      <c r="Z134" s="1"/>
    </row>
    <row r="135" spans="21:26" ht="19.5" customHeight="1" x14ac:dyDescent="0.4">
      <c r="U135" s="1"/>
      <c r="Z135" s="1"/>
    </row>
    <row r="136" spans="21:26" ht="19.5" customHeight="1" x14ac:dyDescent="0.4">
      <c r="U136" s="1"/>
      <c r="Z136" s="1"/>
    </row>
    <row r="137" spans="21:26" ht="19.5" customHeight="1" x14ac:dyDescent="0.4">
      <c r="U137" s="1"/>
      <c r="Z137" s="1"/>
    </row>
    <row r="138" spans="21:26" ht="19.5" customHeight="1" x14ac:dyDescent="0.4">
      <c r="U138" s="1"/>
      <c r="Z138" s="1"/>
    </row>
    <row r="139" spans="21:26" ht="19.5" customHeight="1" x14ac:dyDescent="0.4">
      <c r="U139" s="1"/>
      <c r="Z139" s="1"/>
    </row>
    <row r="140" spans="21:26" ht="19.5" customHeight="1" x14ac:dyDescent="0.4">
      <c r="U140" s="1"/>
      <c r="Z140" s="1"/>
    </row>
    <row r="141" spans="21:26" ht="19.5" customHeight="1" x14ac:dyDescent="0.4">
      <c r="U141" s="1"/>
      <c r="Z141" s="1"/>
    </row>
    <row r="142" spans="21:26" ht="19.5" customHeight="1" x14ac:dyDescent="0.4">
      <c r="U142" s="1"/>
      <c r="Z142" s="1"/>
    </row>
    <row r="143" spans="21:26" ht="19.5" customHeight="1" x14ac:dyDescent="0.4">
      <c r="U143" s="1"/>
      <c r="Z143" s="1"/>
    </row>
    <row r="144" spans="21:26" ht="19.5" customHeight="1" x14ac:dyDescent="0.4">
      <c r="U144" s="1"/>
      <c r="Z144" s="1"/>
    </row>
    <row r="145" spans="21:26" ht="19.5" customHeight="1" x14ac:dyDescent="0.4">
      <c r="U145" s="1"/>
      <c r="Z145" s="1"/>
    </row>
    <row r="146" spans="21:26" ht="19.5" customHeight="1" x14ac:dyDescent="0.4">
      <c r="U146" s="1"/>
      <c r="Z146" s="1"/>
    </row>
    <row r="147" spans="21:26" ht="19.5" customHeight="1" x14ac:dyDescent="0.4">
      <c r="U147" s="1"/>
      <c r="Z147" s="1"/>
    </row>
    <row r="148" spans="21:26" ht="19.5" customHeight="1" x14ac:dyDescent="0.4">
      <c r="U148" s="1"/>
      <c r="Z148" s="1"/>
    </row>
    <row r="149" spans="21:26" ht="19.5" customHeight="1" x14ac:dyDescent="0.4">
      <c r="U149" s="1"/>
      <c r="Z149" s="1"/>
    </row>
    <row r="150" spans="21:26" ht="19.5" customHeight="1" x14ac:dyDescent="0.4">
      <c r="U150" s="1"/>
      <c r="Z150" s="1"/>
    </row>
    <row r="151" spans="21:26" ht="19.5" customHeight="1" x14ac:dyDescent="0.4">
      <c r="U151" s="1"/>
      <c r="Z151" s="1"/>
    </row>
    <row r="152" spans="21:26" ht="19.5" customHeight="1" x14ac:dyDescent="0.4">
      <c r="U152" s="1"/>
      <c r="Z152" s="1"/>
    </row>
    <row r="153" spans="21:26" ht="19.5" customHeight="1" x14ac:dyDescent="0.4">
      <c r="U153" s="1"/>
      <c r="Z153" s="1"/>
    </row>
    <row r="154" spans="21:26" ht="19.5" customHeight="1" x14ac:dyDescent="0.4">
      <c r="U154" s="1"/>
      <c r="Z154" s="1"/>
    </row>
    <row r="155" spans="21:26" ht="19.5" customHeight="1" x14ac:dyDescent="0.4">
      <c r="U155" s="1"/>
      <c r="Z155" s="1"/>
    </row>
    <row r="156" spans="21:26" ht="19.5" customHeight="1" x14ac:dyDescent="0.4">
      <c r="U156" s="1"/>
      <c r="Z156" s="1"/>
    </row>
    <row r="157" spans="21:26" ht="19.5" customHeight="1" x14ac:dyDescent="0.4">
      <c r="U157" s="1"/>
      <c r="Z157" s="1"/>
    </row>
    <row r="158" spans="21:26" ht="19.5" customHeight="1" x14ac:dyDescent="0.4">
      <c r="U158" s="1"/>
      <c r="Z158" s="1"/>
    </row>
    <row r="159" spans="21:26" ht="19.5" customHeight="1" x14ac:dyDescent="0.4">
      <c r="U159" s="1"/>
      <c r="Z159" s="1"/>
    </row>
    <row r="160" spans="21:26" ht="19.5" customHeight="1" x14ac:dyDescent="0.4">
      <c r="U160" s="1"/>
      <c r="Z160" s="1"/>
    </row>
    <row r="161" spans="3:26" ht="19.5" customHeight="1" x14ac:dyDescent="0.4">
      <c r="U161" s="1"/>
      <c r="Z161" s="1"/>
    </row>
    <row r="162" spans="3:26" ht="19.5" customHeight="1" x14ac:dyDescent="0.4">
      <c r="U162" s="1"/>
      <c r="Z162" s="1"/>
    </row>
    <row r="163" spans="3:26" ht="19.5" customHeight="1" x14ac:dyDescent="0.4">
      <c r="C163" s="1"/>
      <c r="H163" s="1"/>
      <c r="U163" s="1"/>
      <c r="Z163" s="1"/>
    </row>
    <row r="164" spans="3:26" ht="19.5" customHeight="1" x14ac:dyDescent="0.4">
      <c r="U164" s="1"/>
      <c r="Z164" s="1"/>
    </row>
    <row r="165" spans="3:26" ht="19.5" customHeight="1" x14ac:dyDescent="0.4">
      <c r="U165" s="1"/>
      <c r="Z165" s="1"/>
    </row>
    <row r="166" spans="3:26" ht="19.5" customHeight="1" x14ac:dyDescent="0.4">
      <c r="U166" s="1"/>
      <c r="Z166" s="1"/>
    </row>
  </sheetData>
  <mergeCells count="16">
    <mergeCell ref="B36:G36"/>
    <mergeCell ref="K31:Q31"/>
    <mergeCell ref="B27:H27"/>
    <mergeCell ref="T32:Z32"/>
    <mergeCell ref="K23:Q23"/>
    <mergeCell ref="B19:H19"/>
    <mergeCell ref="B2:H2"/>
    <mergeCell ref="K14:Q14"/>
    <mergeCell ref="U5:V5"/>
    <mergeCell ref="B17:G17"/>
    <mergeCell ref="B9:G9"/>
    <mergeCell ref="U17:V17"/>
    <mergeCell ref="K2:Q2"/>
    <mergeCell ref="B11:H11"/>
    <mergeCell ref="K8:Q8"/>
    <mergeCell ref="U8:V8"/>
  </mergeCells>
  <conditionalFormatting sqref="C35:D35">
    <cfRule type="duplicateValues" dxfId="13" priority="63"/>
  </conditionalFormatting>
  <conditionalFormatting sqref="C7:D7">
    <cfRule type="duplicateValues" dxfId="12" priority="16"/>
    <cfRule type="duplicateValues" dxfId="11" priority="26"/>
  </conditionalFormatting>
  <conditionalFormatting sqref="C24:D24">
    <cfRule type="duplicateValues" dxfId="10" priority="64"/>
  </conditionalFormatting>
  <conditionalFormatting sqref="C6:D6">
    <cfRule type="duplicateValues" dxfId="9" priority="17"/>
    <cfRule type="duplicateValues" dxfId="8" priority="24"/>
  </conditionalFormatting>
  <conditionalFormatting sqref="L17:M17">
    <cfRule type="duplicateValues" dxfId="7" priority="33"/>
  </conditionalFormatting>
  <conditionalFormatting sqref="L11">
    <cfRule type="duplicateValues" dxfId="6" priority="3"/>
  </conditionalFormatting>
  <conditionalFormatting sqref="C8:D8">
    <cfRule type="duplicateValues" dxfId="5" priority="25"/>
  </conditionalFormatting>
  <conditionalFormatting sqref="L34:M34 M28">
    <cfRule type="duplicateValues" dxfId="4" priority="65"/>
  </conditionalFormatting>
  <conditionalFormatting sqref="C5:D5">
    <cfRule type="duplicateValues" dxfId="3" priority="18"/>
    <cfRule type="duplicateValues" dxfId="2" priority="28"/>
  </conditionalFormatting>
  <conditionalFormatting sqref="L16:M16 M5 L4:M4">
    <cfRule type="duplicateValues" dxfId="1" priority="62"/>
  </conditionalFormatting>
  <conditionalFormatting sqref="C15:D16">
    <cfRule type="duplicateValues" dxfId="0" priority="49"/>
  </conditionalFormatting>
  <pageMargins left="0.39370078740157483" right="0.39370078740157483" top="0.39370078740157483" bottom="0.39370078740157483" header="0" footer="0"/>
  <pageSetup paperSize="9" scale="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2</vt:i4>
      </vt:variant>
    </vt:vector>
  </HeadingPairs>
  <TitlesOfParts>
    <vt:vector size="4" baseType="lpstr">
      <vt:lpstr>3ПР</vt:lpstr>
      <vt:lpstr>2 ЗП</vt:lpstr>
      <vt:lpstr>'2 ЗП'!Область_друку</vt:lpstr>
      <vt:lpstr>'3ПР'!Область_друку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ЗСУ</dc:creator>
  <cp:lastModifiedBy>Dell</cp:lastModifiedBy>
  <dcterms:created xsi:type="dcterms:W3CDTF">2025-07-25T05:01:17Z</dcterms:created>
  <dcterms:modified xsi:type="dcterms:W3CDTF">2025-11-23T13:57:39Z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f291e039a63b490b9171ba51cdea2f6e</vt:lpwstr>
  </property>
</Properties>
</file>